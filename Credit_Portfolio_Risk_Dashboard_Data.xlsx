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Summary" sheetId="1" state="visible" r:id="rId3"/>
    <sheet name="Loan Portfolio" sheetId="2" state="visible" r:id="rId4"/>
    <sheet name="Monthly Trend" sheetId="3" state="visible" r:id="rId5"/>
    <sheet name="DPD &amp; Roll Rate" sheetId="4" state="visible" r:id="rId6"/>
    <sheet name="Vintage Cohort" sheetId="5" state="visible" r:id="rId7"/>
    <sheet name="NPA by Product" sheetId="6" state="visible" r:id="rId8"/>
    <sheet name="Early Warning" sheetId="7" state="visible" r:id="rId9"/>
    <sheet name="Provision Matrix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<sst xmlns="http://schemas.openxmlformats.org/spreadsheetml/2006/main" count="2847" uniqueCount="1212">
  <si>
    <t xml:space="preserve">CREDIT PORTFOLIO RISK DASHBOARD — KPI SUMMARY</t>
  </si>
  <si>
    <t xml:space="preserve">As of May 2026 | 100,000 Loan Records | Internal Use Only</t>
  </si>
  <si>
    <t xml:space="preserve">  ▸  EXECUTIVE KPIs</t>
  </si>
  <si>
    <t xml:space="preserve">KPI Name</t>
  </si>
  <si>
    <t xml:space="preserve">Current Value</t>
  </si>
  <si>
    <t xml:space="preserve">Prior Month</t>
  </si>
  <si>
    <t xml:space="preserve">MoM Change</t>
  </si>
  <si>
    <t xml:space="preserve">MoM Direction</t>
  </si>
  <si>
    <t xml:space="preserve">YoY Change</t>
  </si>
  <si>
    <t xml:space="preserve">Target</t>
  </si>
  <si>
    <t xml:space="preserve">Status</t>
  </si>
  <si>
    <t xml:space="preserve">Classification</t>
  </si>
  <si>
    <t xml:space="preserve">Notes</t>
  </si>
  <si>
    <t xml:space="preserve">Gross NPA Ratio</t>
  </si>
  <si>
    <t xml:space="preserve">▲ Up</t>
  </si>
  <si>
    <t xml:space="preserve">Breach</t>
  </si>
  <si>
    <t xml:space="preserve">Credit Quality</t>
  </si>
  <si>
    <t xml:space="preserve">% of outstanding balance classified as NPA</t>
  </si>
  <si>
    <t xml:space="preserve">Net NPA Ratio</t>
  </si>
  <si>
    <t xml:space="preserve">▼ Down</t>
  </si>
  <si>
    <t xml:space="preserve">At Risk</t>
  </si>
  <si>
    <t xml:space="preserve">After netting provisions</t>
  </si>
  <si>
    <t xml:space="preserve">Provision Coverage Ratio</t>
  </si>
  <si>
    <t xml:space="preserve">Healthy</t>
  </si>
  <si>
    <t xml:space="preserve">Provisions</t>
  </si>
  <si>
    <t xml:space="preserve">Provisions / Gross NPA</t>
  </si>
  <si>
    <t xml:space="preserve">Delinquency Rate</t>
  </si>
  <si>
    <t xml:space="preserve">DPD &gt; 0 balance / total portfolio</t>
  </si>
  <si>
    <t xml:space="preserve">Active Loans</t>
  </si>
  <si>
    <t xml:space="preserve">Volume</t>
  </si>
  <si>
    <t xml:space="preserve">Loans with status Active or Restructured</t>
  </si>
  <si>
    <t xml:space="preserve">Total Portfolio (₹ Cr)</t>
  </si>
  <si>
    <t xml:space="preserve">Total outstanding balance in Crores</t>
  </si>
  <si>
    <t xml:space="preserve">Gross NPA Amount (₹ Cr)</t>
  </si>
  <si>
    <t xml:space="preserve">NPA</t>
  </si>
  <si>
    <t xml:space="preserve">Gross NPA outstanding</t>
  </si>
  <si>
    <t xml:space="preserve">Net NPA Amount (₹ Cr)</t>
  </si>
  <si>
    <t xml:space="preserve">After provisions</t>
  </si>
  <si>
    <t xml:space="preserve">Total Provisions (₹ Cr)</t>
  </si>
  <si>
    <t xml:space="preserve">Total provisions held</t>
  </si>
  <si>
    <t xml:space="preserve">Avg Borrower Credit Score</t>
  </si>
  <si>
    <t xml:space="preserve">Average CIBIL/credit score</t>
  </si>
  <si>
    <t xml:space="preserve">% Prime Borrowers (≥700)</t>
  </si>
  <si>
    <t xml:space="preserve">Borrowers with score ≥ 700</t>
  </si>
  <si>
    <t xml:space="preserve">% Subprime Borrowers (&lt;620)</t>
  </si>
  <si>
    <t xml:space="preserve">Borrowers with score &lt; 620</t>
  </si>
  <si>
    <t xml:space="preserve">Avg LTV Ratio</t>
  </si>
  <si>
    <t xml:space="preserve">Collateral</t>
  </si>
  <si>
    <t xml:space="preserve">Avg loan-to-value for secured loans</t>
  </si>
  <si>
    <t xml:space="preserve">High LTV Loans (&gt;80%)</t>
  </si>
  <si>
    <t xml:space="preserve">Count of loans with LTV &gt; 80%</t>
  </si>
  <si>
    <t xml:space="preserve">Cure Rate</t>
  </si>
  <si>
    <t xml:space="preserve">Roll Rate</t>
  </si>
  <si>
    <t xml:space="preserve">% delinquent loans returning to Current</t>
  </si>
  <si>
    <t xml:space="preserve">Roll Fwd Rate 1-30→31-60</t>
  </si>
  <si>
    <t xml:space="preserve">Balance migrating to worse bucket</t>
  </si>
  <si>
    <t xml:space="preserve">Roll Fwd Rate 31-60→NPA</t>
  </si>
  <si>
    <t xml:space="preserve">Balance migrating to NPA</t>
  </si>
  <si>
    <t xml:space="preserve">LOAN PORTFOLIO — SAMPLE DATA (500 RECORDS)</t>
  </si>
  <si>
    <t xml:space="preserve">Loan ID</t>
  </si>
  <si>
    <t xml:space="preserve">Borrower ID</t>
  </si>
  <si>
    <t xml:space="preserve">Product Category</t>
  </si>
  <si>
    <t xml:space="preserve">Loan Amount (₹)</t>
  </si>
  <si>
    <t xml:space="preserve">Outstanding Balance (₹)</t>
  </si>
  <si>
    <t xml:space="preserve">Interest Rate</t>
  </si>
  <si>
    <t xml:space="preserve">Tenure (Mo)</t>
  </si>
  <si>
    <t xml:space="preserve">EMI (₹)</t>
  </si>
  <si>
    <t xml:space="preserve">Disburse Date</t>
  </si>
  <si>
    <t xml:space="preserve">Maturity Date</t>
  </si>
  <si>
    <t xml:space="preserve">Loan Status</t>
  </si>
  <si>
    <t xml:space="preserve">NPA Flag</t>
  </si>
  <si>
    <t xml:space="preserve">DPD Bucket</t>
  </si>
  <si>
    <t xml:space="preserve">Credit Score</t>
  </si>
  <si>
    <t xml:space="preserve">L00000001</t>
  </si>
  <si>
    <t xml:space="preserve">B0028658</t>
  </si>
  <si>
    <t xml:space="preserve">Auto Loan</t>
  </si>
  <si>
    <t xml:space="preserve">Restructured</t>
  </si>
  <si>
    <t xml:space="preserve">Current</t>
  </si>
  <si>
    <t xml:space="preserve">L00000002</t>
  </si>
  <si>
    <t xml:space="preserve">B0000852</t>
  </si>
  <si>
    <t xml:space="preserve">Home Loan</t>
  </si>
  <si>
    <t xml:space="preserve">Active</t>
  </si>
  <si>
    <t xml:space="preserve">L00000003</t>
  </si>
  <si>
    <t xml:space="preserve">B0045083</t>
  </si>
  <si>
    <t xml:space="preserve">SME Loan</t>
  </si>
  <si>
    <t xml:space="preserve">L00000004</t>
  </si>
  <si>
    <t xml:space="preserve">B0082398</t>
  </si>
  <si>
    <t xml:space="preserve">L00000005</t>
  </si>
  <si>
    <t xml:space="preserve">B0049824</t>
  </si>
  <si>
    <t xml:space="preserve">L00000006</t>
  </si>
  <si>
    <t xml:space="preserve">B0089594</t>
  </si>
  <si>
    <t xml:space="preserve">Personal Loan</t>
  </si>
  <si>
    <t xml:space="preserve">L00000007</t>
  </si>
  <si>
    <t xml:space="preserve">B0042505</t>
  </si>
  <si>
    <t xml:space="preserve">Written-Off</t>
  </si>
  <si>
    <t xml:space="preserve">L00000008</t>
  </si>
  <si>
    <t xml:space="preserve">B0074342</t>
  </si>
  <si>
    <t xml:space="preserve">L00000009</t>
  </si>
  <si>
    <t xml:space="preserve">B0070645</t>
  </si>
  <si>
    <t xml:space="preserve">Credit Card</t>
  </si>
  <si>
    <t xml:space="preserve">L00000010</t>
  </si>
  <si>
    <t xml:space="preserve">B0064687</t>
  </si>
  <si>
    <t xml:space="preserve">L00000011</t>
  </si>
  <si>
    <t xml:space="preserve">B0069353</t>
  </si>
  <si>
    <t xml:space="preserve">180+</t>
  </si>
  <si>
    <t xml:space="preserve">L00000012</t>
  </si>
  <si>
    <t xml:space="preserve">B0038470</t>
  </si>
  <si>
    <t xml:space="preserve">L00000013</t>
  </si>
  <si>
    <t xml:space="preserve">B0039118</t>
  </si>
  <si>
    <t xml:space="preserve">L00000014</t>
  </si>
  <si>
    <t xml:space="preserve">B0000075</t>
  </si>
  <si>
    <t xml:space="preserve">1-30</t>
  </si>
  <si>
    <t xml:space="preserve">L00000015</t>
  </si>
  <si>
    <t xml:space="preserve">B0010323</t>
  </si>
  <si>
    <t xml:space="preserve">L00000016</t>
  </si>
  <si>
    <t xml:space="preserve">B0021644</t>
  </si>
  <si>
    <t xml:space="preserve">L00000017</t>
  </si>
  <si>
    <t xml:space="preserve">B0057423</t>
  </si>
  <si>
    <t xml:space="preserve">L00000018</t>
  </si>
  <si>
    <t xml:space="preserve">B0028865</t>
  </si>
  <si>
    <t xml:space="preserve">L00000019</t>
  </si>
  <si>
    <t xml:space="preserve">B0028081</t>
  </si>
  <si>
    <t xml:space="preserve">L00000020</t>
  </si>
  <si>
    <t xml:space="preserve">B0012705</t>
  </si>
  <si>
    <t xml:space="preserve">L00000021</t>
  </si>
  <si>
    <t xml:space="preserve">B0014323</t>
  </si>
  <si>
    <t xml:space="preserve">L00000022</t>
  </si>
  <si>
    <t xml:space="preserve">B0009881</t>
  </si>
  <si>
    <t xml:space="preserve">L00000023</t>
  </si>
  <si>
    <t xml:space="preserve">B0028017</t>
  </si>
  <si>
    <t xml:space="preserve">L00000024</t>
  </si>
  <si>
    <t xml:space="preserve">B0037389</t>
  </si>
  <si>
    <t xml:space="preserve">L00000025</t>
  </si>
  <si>
    <t xml:space="preserve">B0096435</t>
  </si>
  <si>
    <t xml:space="preserve">L00000026</t>
  </si>
  <si>
    <t xml:space="preserve">B0010501</t>
  </si>
  <si>
    <t xml:space="preserve">L00000027</t>
  </si>
  <si>
    <t xml:space="preserve">B0086164</t>
  </si>
  <si>
    <t xml:space="preserve">L00000028</t>
  </si>
  <si>
    <t xml:space="preserve">B0084608</t>
  </si>
  <si>
    <t xml:space="preserve">L00000029</t>
  </si>
  <si>
    <t xml:space="preserve">B0045746</t>
  </si>
  <si>
    <t xml:space="preserve">L00000030</t>
  </si>
  <si>
    <t xml:space="preserve">B0085718</t>
  </si>
  <si>
    <t xml:space="preserve">L00000031</t>
  </si>
  <si>
    <t xml:space="preserve">B0020375</t>
  </si>
  <si>
    <t xml:space="preserve">L00000032</t>
  </si>
  <si>
    <t xml:space="preserve">B0006659</t>
  </si>
  <si>
    <t xml:space="preserve">L00000033</t>
  </si>
  <si>
    <t xml:space="preserve">B0073520</t>
  </si>
  <si>
    <t xml:space="preserve">L00000034</t>
  </si>
  <si>
    <t xml:space="preserve">B0019411</t>
  </si>
  <si>
    <t xml:space="preserve">L00000035</t>
  </si>
  <si>
    <t xml:space="preserve">B0046358</t>
  </si>
  <si>
    <t xml:space="preserve">L00000036</t>
  </si>
  <si>
    <t xml:space="preserve">B0054041</t>
  </si>
  <si>
    <t xml:space="preserve">L00000037</t>
  </si>
  <si>
    <t xml:space="preserve">B0005076</t>
  </si>
  <si>
    <t xml:space="preserve">L00000038</t>
  </si>
  <si>
    <t xml:space="preserve">B0029220</t>
  </si>
  <si>
    <t xml:space="preserve">L00000039</t>
  </si>
  <si>
    <t xml:space="preserve">B0070283</t>
  </si>
  <si>
    <t xml:space="preserve">L00000040</t>
  </si>
  <si>
    <t xml:space="preserve">B0014209</t>
  </si>
  <si>
    <t xml:space="preserve">L00000041</t>
  </si>
  <si>
    <t xml:space="preserve">B0057155</t>
  </si>
  <si>
    <t xml:space="preserve">L00000042</t>
  </si>
  <si>
    <t xml:space="preserve">B0043280</t>
  </si>
  <si>
    <t xml:space="preserve">L00000043</t>
  </si>
  <si>
    <t xml:space="preserve">B0025145</t>
  </si>
  <si>
    <t xml:space="preserve">L00000044</t>
  </si>
  <si>
    <t xml:space="preserve">B0039830</t>
  </si>
  <si>
    <t xml:space="preserve">L00000045</t>
  </si>
  <si>
    <t xml:space="preserve">B0096464</t>
  </si>
  <si>
    <t xml:space="preserve">L00000046</t>
  </si>
  <si>
    <t xml:space="preserve">B0026101</t>
  </si>
  <si>
    <t xml:space="preserve">L00000047</t>
  </si>
  <si>
    <t xml:space="preserve">B0050329</t>
  </si>
  <si>
    <t xml:space="preserve">L00000048</t>
  </si>
  <si>
    <t xml:space="preserve">B0091215</t>
  </si>
  <si>
    <t xml:space="preserve">L00000049</t>
  </si>
  <si>
    <t xml:space="preserve">B0058009</t>
  </si>
  <si>
    <t xml:space="preserve">L00000050</t>
  </si>
  <si>
    <t xml:space="preserve">B0033973</t>
  </si>
  <si>
    <t xml:space="preserve">L00000051</t>
  </si>
  <si>
    <t xml:space="preserve">B0035615</t>
  </si>
  <si>
    <t xml:space="preserve">L00000052</t>
  </si>
  <si>
    <t xml:space="preserve">B0008419</t>
  </si>
  <si>
    <t xml:space="preserve">L00000053</t>
  </si>
  <si>
    <t xml:space="preserve">B0046106</t>
  </si>
  <si>
    <t xml:space="preserve">L00000054</t>
  </si>
  <si>
    <t xml:space="preserve">B0028907</t>
  </si>
  <si>
    <t xml:space="preserve">L00000055</t>
  </si>
  <si>
    <t xml:space="preserve">B0070009</t>
  </si>
  <si>
    <t xml:space="preserve">61-90</t>
  </si>
  <si>
    <t xml:space="preserve">L00000056</t>
  </si>
  <si>
    <t xml:space="preserve">B0023820</t>
  </si>
  <si>
    <t xml:space="preserve">L00000057</t>
  </si>
  <si>
    <t xml:space="preserve">B0002541</t>
  </si>
  <si>
    <t xml:space="preserve">L00000058</t>
  </si>
  <si>
    <t xml:space="preserve">B0032412</t>
  </si>
  <si>
    <t xml:space="preserve">L00000059</t>
  </si>
  <si>
    <t xml:space="preserve">B0079416</t>
  </si>
  <si>
    <t xml:space="preserve">L00000060</t>
  </si>
  <si>
    <t xml:space="preserve">B0075471</t>
  </si>
  <si>
    <t xml:space="preserve">L00000061</t>
  </si>
  <si>
    <t xml:space="preserve">B0078698</t>
  </si>
  <si>
    <t xml:space="preserve">L00000062</t>
  </si>
  <si>
    <t xml:space="preserve">B0066318</t>
  </si>
  <si>
    <t xml:space="preserve">L00000063</t>
  </si>
  <si>
    <t xml:space="preserve">B0068387</t>
  </si>
  <si>
    <t xml:space="preserve">L00000064</t>
  </si>
  <si>
    <t xml:space="preserve">B0035180</t>
  </si>
  <si>
    <t xml:space="preserve">L00000065</t>
  </si>
  <si>
    <t xml:space="preserve">B0064790</t>
  </si>
  <si>
    <t xml:space="preserve">L00000066</t>
  </si>
  <si>
    <t xml:space="preserve">B0036212</t>
  </si>
  <si>
    <t xml:space="preserve">L00000067</t>
  </si>
  <si>
    <t xml:space="preserve">B0058744</t>
  </si>
  <si>
    <t xml:space="preserve">L00000068</t>
  </si>
  <si>
    <t xml:space="preserve">B0069589</t>
  </si>
  <si>
    <t xml:space="preserve">L00000069</t>
  </si>
  <si>
    <t xml:space="preserve">B0015671</t>
  </si>
  <si>
    <t xml:space="preserve">L00000070</t>
  </si>
  <si>
    <t xml:space="preserve">B0099642</t>
  </si>
  <si>
    <t xml:space="preserve">L00000071</t>
  </si>
  <si>
    <t xml:space="preserve">B0005966</t>
  </si>
  <si>
    <t xml:space="preserve">L00000072</t>
  </si>
  <si>
    <t xml:space="preserve">B0061525</t>
  </si>
  <si>
    <t xml:space="preserve">L00000073</t>
  </si>
  <si>
    <t xml:space="preserve">B0089975</t>
  </si>
  <si>
    <t xml:space="preserve">L00000074</t>
  </si>
  <si>
    <t xml:space="preserve">B0079472</t>
  </si>
  <si>
    <t xml:space="preserve">L00000075</t>
  </si>
  <si>
    <t xml:space="preserve">B0097005</t>
  </si>
  <si>
    <t xml:space="preserve">L00000076</t>
  </si>
  <si>
    <t xml:space="preserve">B0020518</t>
  </si>
  <si>
    <t xml:space="preserve">L00000077</t>
  </si>
  <si>
    <t xml:space="preserve">B0081928</t>
  </si>
  <si>
    <t xml:space="preserve">L00000078</t>
  </si>
  <si>
    <t xml:space="preserve">B0018644</t>
  </si>
  <si>
    <t xml:space="preserve">L00000079</t>
  </si>
  <si>
    <t xml:space="preserve">B0052758</t>
  </si>
  <si>
    <t xml:space="preserve">L00000080</t>
  </si>
  <si>
    <t xml:space="preserve">B0003391</t>
  </si>
  <si>
    <t xml:space="preserve">L00000081</t>
  </si>
  <si>
    <t xml:space="preserve">B0068022</t>
  </si>
  <si>
    <t xml:space="preserve">L00000082</t>
  </si>
  <si>
    <t xml:space="preserve">B0042082</t>
  </si>
  <si>
    <t xml:space="preserve">L00000083</t>
  </si>
  <si>
    <t xml:space="preserve">B0042373</t>
  </si>
  <si>
    <t xml:space="preserve">L00000084</t>
  </si>
  <si>
    <t xml:space="preserve">B0047420</t>
  </si>
  <si>
    <t xml:space="preserve">L00000085</t>
  </si>
  <si>
    <t xml:space="preserve">B0003784</t>
  </si>
  <si>
    <t xml:space="preserve">L00000086</t>
  </si>
  <si>
    <t xml:space="preserve">B0029452</t>
  </si>
  <si>
    <t xml:space="preserve">L00000087</t>
  </si>
  <si>
    <t xml:space="preserve">B0063243</t>
  </si>
  <si>
    <t xml:space="preserve">L00000088</t>
  </si>
  <si>
    <t xml:space="preserve">B0009151</t>
  </si>
  <si>
    <t xml:space="preserve">L00000089</t>
  </si>
  <si>
    <t xml:space="preserve">B0086500</t>
  </si>
  <si>
    <t xml:space="preserve">L00000090</t>
  </si>
  <si>
    <t xml:space="preserve">B0042177</t>
  </si>
  <si>
    <t xml:space="preserve">L00000091</t>
  </si>
  <si>
    <t xml:space="preserve">B0049969</t>
  </si>
  <si>
    <t xml:space="preserve">L00000092</t>
  </si>
  <si>
    <t xml:space="preserve">B0043516</t>
  </si>
  <si>
    <t xml:space="preserve">31-60</t>
  </si>
  <si>
    <t xml:space="preserve">L00000093</t>
  </si>
  <si>
    <t xml:space="preserve">B0034738</t>
  </si>
  <si>
    <t xml:space="preserve">L00000094</t>
  </si>
  <si>
    <t xml:space="preserve">B0099537</t>
  </si>
  <si>
    <t xml:space="preserve">L00000095</t>
  </si>
  <si>
    <t xml:space="preserve">B0099664</t>
  </si>
  <si>
    <t xml:space="preserve">L00000096</t>
  </si>
  <si>
    <t xml:space="preserve">B0046985</t>
  </si>
  <si>
    <t xml:space="preserve">L00000097</t>
  </si>
  <si>
    <t xml:space="preserve">B0089540</t>
  </si>
  <si>
    <t xml:space="preserve">L00000098</t>
  </si>
  <si>
    <t xml:space="preserve">B0060982</t>
  </si>
  <si>
    <t xml:space="preserve">L00000099</t>
  </si>
  <si>
    <t xml:space="preserve">B0026112</t>
  </si>
  <si>
    <t xml:space="preserve">L00000100</t>
  </si>
  <si>
    <t xml:space="preserve">B0038697</t>
  </si>
  <si>
    <t xml:space="preserve">91-180</t>
  </si>
  <si>
    <t xml:space="preserve">L00000101</t>
  </si>
  <si>
    <t xml:space="preserve">B0046180</t>
  </si>
  <si>
    <t xml:space="preserve">L00000102</t>
  </si>
  <si>
    <t xml:space="preserve">B0057780</t>
  </si>
  <si>
    <t xml:space="preserve">L00000103</t>
  </si>
  <si>
    <t xml:space="preserve">B0047954</t>
  </si>
  <si>
    <t xml:space="preserve">L00000104</t>
  </si>
  <si>
    <t xml:space="preserve">B0015096</t>
  </si>
  <si>
    <t xml:space="preserve">L00000105</t>
  </si>
  <si>
    <t xml:space="preserve">B0034664</t>
  </si>
  <si>
    <t xml:space="preserve">L00000106</t>
  </si>
  <si>
    <t xml:space="preserve">B0030648</t>
  </si>
  <si>
    <t xml:space="preserve">L00000107</t>
  </si>
  <si>
    <t xml:space="preserve">B0018321</t>
  </si>
  <si>
    <t xml:space="preserve">L00000108</t>
  </si>
  <si>
    <t xml:space="preserve">B0059460</t>
  </si>
  <si>
    <t xml:space="preserve">L00000109</t>
  </si>
  <si>
    <t xml:space="preserve">B0053493</t>
  </si>
  <si>
    <t xml:space="preserve">L00000110</t>
  </si>
  <si>
    <t xml:space="preserve">B0013023</t>
  </si>
  <si>
    <t xml:space="preserve">L00000111</t>
  </si>
  <si>
    <t xml:space="preserve">B0012016</t>
  </si>
  <si>
    <t xml:space="preserve">L00000112</t>
  </si>
  <si>
    <t xml:space="preserve">B0074001</t>
  </si>
  <si>
    <t xml:space="preserve">L00000113</t>
  </si>
  <si>
    <t xml:space="preserve">B0036343</t>
  </si>
  <si>
    <t xml:space="preserve">L00000114</t>
  </si>
  <si>
    <t xml:space="preserve">B0001948</t>
  </si>
  <si>
    <t xml:space="preserve">L00000115</t>
  </si>
  <si>
    <t xml:space="preserve">B0058757</t>
  </si>
  <si>
    <t xml:space="preserve">L00000116</t>
  </si>
  <si>
    <t xml:space="preserve">B0086364</t>
  </si>
  <si>
    <t xml:space="preserve">L00000117</t>
  </si>
  <si>
    <t xml:space="preserve">B0058139</t>
  </si>
  <si>
    <t xml:space="preserve">L00000118</t>
  </si>
  <si>
    <t xml:space="preserve">B0093344</t>
  </si>
  <si>
    <t xml:space="preserve">L00000119</t>
  </si>
  <si>
    <t xml:space="preserve">B0094482</t>
  </si>
  <si>
    <t xml:space="preserve">L00000120</t>
  </si>
  <si>
    <t xml:space="preserve">B0040967</t>
  </si>
  <si>
    <t xml:space="preserve">L00000121</t>
  </si>
  <si>
    <t xml:space="preserve">B0096836</t>
  </si>
  <si>
    <t xml:space="preserve">L00000122</t>
  </si>
  <si>
    <t xml:space="preserve">B0087208</t>
  </si>
  <si>
    <t xml:space="preserve">L00000123</t>
  </si>
  <si>
    <t xml:space="preserve">B0086080</t>
  </si>
  <si>
    <t xml:space="preserve">L00000124</t>
  </si>
  <si>
    <t xml:space="preserve">B0056245</t>
  </si>
  <si>
    <t xml:space="preserve">L00000125</t>
  </si>
  <si>
    <t xml:space="preserve">B0040500</t>
  </si>
  <si>
    <t xml:space="preserve">L00000126</t>
  </si>
  <si>
    <t xml:space="preserve">B0082992</t>
  </si>
  <si>
    <t xml:space="preserve">L00000127</t>
  </si>
  <si>
    <t xml:space="preserve">B0074396</t>
  </si>
  <si>
    <t xml:space="preserve">L00000128</t>
  </si>
  <si>
    <t xml:space="preserve">B0079571</t>
  </si>
  <si>
    <t xml:space="preserve">L00000129</t>
  </si>
  <si>
    <t xml:space="preserve">B0051808</t>
  </si>
  <si>
    <t xml:space="preserve">L00000130</t>
  </si>
  <si>
    <t xml:space="preserve">B0065194</t>
  </si>
  <si>
    <t xml:space="preserve">L00000131</t>
  </si>
  <si>
    <t xml:space="preserve">B0002457</t>
  </si>
  <si>
    <t xml:space="preserve">L00000132</t>
  </si>
  <si>
    <t xml:space="preserve">B0015097</t>
  </si>
  <si>
    <t xml:space="preserve">L00000133</t>
  </si>
  <si>
    <t xml:space="preserve">B0077185</t>
  </si>
  <si>
    <t xml:space="preserve">L00000134</t>
  </si>
  <si>
    <t xml:space="preserve">B0082999</t>
  </si>
  <si>
    <t xml:space="preserve">L00000135</t>
  </si>
  <si>
    <t xml:space="preserve">B0022741</t>
  </si>
  <si>
    <t xml:space="preserve">L00000136</t>
  </si>
  <si>
    <t xml:space="preserve">B0058839</t>
  </si>
  <si>
    <t xml:space="preserve">L00000137</t>
  </si>
  <si>
    <t xml:space="preserve">B0039692</t>
  </si>
  <si>
    <t xml:space="preserve">L00000138</t>
  </si>
  <si>
    <t xml:space="preserve">B0037628</t>
  </si>
  <si>
    <t xml:space="preserve">L00000139</t>
  </si>
  <si>
    <t xml:space="preserve">B0074929</t>
  </si>
  <si>
    <t xml:space="preserve">L00000140</t>
  </si>
  <si>
    <t xml:space="preserve">B0093627</t>
  </si>
  <si>
    <t xml:space="preserve">L00000141</t>
  </si>
  <si>
    <t xml:space="preserve">B0037080</t>
  </si>
  <si>
    <t xml:space="preserve">L00000142</t>
  </si>
  <si>
    <t xml:space="preserve">B0050668</t>
  </si>
  <si>
    <t xml:space="preserve">L00000143</t>
  </si>
  <si>
    <t xml:space="preserve">B0040663</t>
  </si>
  <si>
    <t xml:space="preserve">L00000144</t>
  </si>
  <si>
    <t xml:space="preserve">B0016751</t>
  </si>
  <si>
    <t xml:space="preserve">L00000145</t>
  </si>
  <si>
    <t xml:space="preserve">B0023628</t>
  </si>
  <si>
    <t xml:space="preserve">L00000146</t>
  </si>
  <si>
    <t xml:space="preserve">B0013257</t>
  </si>
  <si>
    <t xml:space="preserve">L00000147</t>
  </si>
  <si>
    <t xml:space="preserve">B0081886</t>
  </si>
  <si>
    <t xml:space="preserve">L00000148</t>
  </si>
  <si>
    <t xml:space="preserve">B0080032</t>
  </si>
  <si>
    <t xml:space="preserve">L00000149</t>
  </si>
  <si>
    <t xml:space="preserve">B0057750</t>
  </si>
  <si>
    <t xml:space="preserve">L00000150</t>
  </si>
  <si>
    <t xml:space="preserve">B0018141</t>
  </si>
  <si>
    <t xml:space="preserve">L00000151</t>
  </si>
  <si>
    <t xml:space="preserve">B0058894</t>
  </si>
  <si>
    <t xml:space="preserve">L00000152</t>
  </si>
  <si>
    <t xml:space="preserve">B0051965</t>
  </si>
  <si>
    <t xml:space="preserve">L00000153</t>
  </si>
  <si>
    <t xml:space="preserve">B0061926</t>
  </si>
  <si>
    <t xml:space="preserve">L00000154</t>
  </si>
  <si>
    <t xml:space="preserve">B0019598</t>
  </si>
  <si>
    <t xml:space="preserve">L00000155</t>
  </si>
  <si>
    <t xml:space="preserve">B0081634</t>
  </si>
  <si>
    <t xml:space="preserve">L00000156</t>
  </si>
  <si>
    <t xml:space="preserve">B0018819</t>
  </si>
  <si>
    <t xml:space="preserve">L00000157</t>
  </si>
  <si>
    <t xml:space="preserve">B0066497</t>
  </si>
  <si>
    <t xml:space="preserve">L00000158</t>
  </si>
  <si>
    <t xml:space="preserve">B0097953</t>
  </si>
  <si>
    <t xml:space="preserve">L00000159</t>
  </si>
  <si>
    <t xml:space="preserve">B0084253</t>
  </si>
  <si>
    <t xml:space="preserve">L00000160</t>
  </si>
  <si>
    <t xml:space="preserve">B0004848</t>
  </si>
  <si>
    <t xml:space="preserve">L00000161</t>
  </si>
  <si>
    <t xml:space="preserve">B0084791</t>
  </si>
  <si>
    <t xml:space="preserve">L00000162</t>
  </si>
  <si>
    <t xml:space="preserve">B0052432</t>
  </si>
  <si>
    <t xml:space="preserve">L00000163</t>
  </si>
  <si>
    <t xml:space="preserve">B0055641</t>
  </si>
  <si>
    <t xml:space="preserve">L00000164</t>
  </si>
  <si>
    <t xml:space="preserve">B0038751</t>
  </si>
  <si>
    <t xml:space="preserve">L00000165</t>
  </si>
  <si>
    <t xml:space="preserve">B0007519</t>
  </si>
  <si>
    <t xml:space="preserve">L00000166</t>
  </si>
  <si>
    <t xml:space="preserve">B0057433</t>
  </si>
  <si>
    <t xml:space="preserve">L00000167</t>
  </si>
  <si>
    <t xml:space="preserve">B0058189</t>
  </si>
  <si>
    <t xml:space="preserve">L00000168</t>
  </si>
  <si>
    <t xml:space="preserve">B0003397</t>
  </si>
  <si>
    <t xml:space="preserve">L00000169</t>
  </si>
  <si>
    <t xml:space="preserve">B0064383</t>
  </si>
  <si>
    <t xml:space="preserve">L00000170</t>
  </si>
  <si>
    <t xml:space="preserve">B0041890</t>
  </si>
  <si>
    <t xml:space="preserve">L00000171</t>
  </si>
  <si>
    <t xml:space="preserve">B0026343</t>
  </si>
  <si>
    <t xml:space="preserve">L00000172</t>
  </si>
  <si>
    <t xml:space="preserve">B0072306</t>
  </si>
  <si>
    <t xml:space="preserve">L00000173</t>
  </si>
  <si>
    <t xml:space="preserve">B0009667</t>
  </si>
  <si>
    <t xml:space="preserve">L00000174</t>
  </si>
  <si>
    <t xml:space="preserve">B0072261</t>
  </si>
  <si>
    <t xml:space="preserve">L00000175</t>
  </si>
  <si>
    <t xml:space="preserve">B0042292</t>
  </si>
  <si>
    <t xml:space="preserve">L00000176</t>
  </si>
  <si>
    <t xml:space="preserve">B0072200</t>
  </si>
  <si>
    <t xml:space="preserve">L00000177</t>
  </si>
  <si>
    <t xml:space="preserve">B0044253</t>
  </si>
  <si>
    <t xml:space="preserve">L00000178</t>
  </si>
  <si>
    <t xml:space="preserve">B0034689</t>
  </si>
  <si>
    <t xml:space="preserve">L00000179</t>
  </si>
  <si>
    <t xml:space="preserve">B0089784</t>
  </si>
  <si>
    <t xml:space="preserve">L00000180</t>
  </si>
  <si>
    <t xml:space="preserve">B0079517</t>
  </si>
  <si>
    <t xml:space="preserve">L00000181</t>
  </si>
  <si>
    <t xml:space="preserve">B0031686</t>
  </si>
  <si>
    <t xml:space="preserve">L00000182</t>
  </si>
  <si>
    <t xml:space="preserve">B0054806</t>
  </si>
  <si>
    <t xml:space="preserve">L00000183</t>
  </si>
  <si>
    <t xml:space="preserve">B0065374</t>
  </si>
  <si>
    <t xml:space="preserve">L00000184</t>
  </si>
  <si>
    <t xml:space="preserve">B0046255</t>
  </si>
  <si>
    <t xml:space="preserve">L00000185</t>
  </si>
  <si>
    <t xml:space="preserve">B0034665</t>
  </si>
  <si>
    <t xml:space="preserve">L00000186</t>
  </si>
  <si>
    <t xml:space="preserve">B0037828</t>
  </si>
  <si>
    <t xml:space="preserve">L00000187</t>
  </si>
  <si>
    <t xml:space="preserve">B0044445</t>
  </si>
  <si>
    <t xml:space="preserve">L00000188</t>
  </si>
  <si>
    <t xml:space="preserve">B0093532</t>
  </si>
  <si>
    <t xml:space="preserve">L00000189</t>
  </si>
  <si>
    <t xml:space="preserve">B0039222</t>
  </si>
  <si>
    <t xml:space="preserve">L00000190</t>
  </si>
  <si>
    <t xml:space="preserve">B0043417</t>
  </si>
  <si>
    <t xml:space="preserve">L00000191</t>
  </si>
  <si>
    <t xml:space="preserve">B0075822</t>
  </si>
  <si>
    <t xml:space="preserve">L00000192</t>
  </si>
  <si>
    <t xml:space="preserve">B0049833</t>
  </si>
  <si>
    <t xml:space="preserve">L00000193</t>
  </si>
  <si>
    <t xml:space="preserve">B0026725</t>
  </si>
  <si>
    <t xml:space="preserve">L00000194</t>
  </si>
  <si>
    <t xml:space="preserve">B0086800</t>
  </si>
  <si>
    <t xml:space="preserve">L00000195</t>
  </si>
  <si>
    <t xml:space="preserve">B0084320</t>
  </si>
  <si>
    <t xml:space="preserve">L00000196</t>
  </si>
  <si>
    <t xml:space="preserve">B0039009</t>
  </si>
  <si>
    <t xml:space="preserve">L00000197</t>
  </si>
  <si>
    <t xml:space="preserve">B0049768</t>
  </si>
  <si>
    <t xml:space="preserve">L00000198</t>
  </si>
  <si>
    <t xml:space="preserve">B0045399</t>
  </si>
  <si>
    <t xml:space="preserve">L00000199</t>
  </si>
  <si>
    <t xml:space="preserve">B0097111</t>
  </si>
  <si>
    <t xml:space="preserve">L00000200</t>
  </si>
  <si>
    <t xml:space="preserve">B0043293</t>
  </si>
  <si>
    <t xml:space="preserve">L00000201</t>
  </si>
  <si>
    <t xml:space="preserve">B0062581</t>
  </si>
  <si>
    <t xml:space="preserve">L00000202</t>
  </si>
  <si>
    <t xml:space="preserve">B0096822</t>
  </si>
  <si>
    <t xml:space="preserve">L00000203</t>
  </si>
  <si>
    <t xml:space="preserve">B0098174</t>
  </si>
  <si>
    <t xml:space="preserve">L00000204</t>
  </si>
  <si>
    <t xml:space="preserve">B0043915</t>
  </si>
  <si>
    <t xml:space="preserve">L00000205</t>
  </si>
  <si>
    <t xml:space="preserve">B0021299</t>
  </si>
  <si>
    <t xml:space="preserve">L00000206</t>
  </si>
  <si>
    <t xml:space="preserve">B0023003</t>
  </si>
  <si>
    <t xml:space="preserve">L00000207</t>
  </si>
  <si>
    <t xml:space="preserve">B0032513</t>
  </si>
  <si>
    <t xml:space="preserve">L00000208</t>
  </si>
  <si>
    <t xml:space="preserve">B0034283</t>
  </si>
  <si>
    <t xml:space="preserve">L00000209</t>
  </si>
  <si>
    <t xml:space="preserve">B0083718</t>
  </si>
  <si>
    <t xml:space="preserve">L00000210</t>
  </si>
  <si>
    <t xml:space="preserve">B0079396</t>
  </si>
  <si>
    <t xml:space="preserve">L00000211</t>
  </si>
  <si>
    <t xml:space="preserve">B0010731</t>
  </si>
  <si>
    <t xml:space="preserve">L00000212</t>
  </si>
  <si>
    <t xml:space="preserve">B0070342</t>
  </si>
  <si>
    <t xml:space="preserve">L00000213</t>
  </si>
  <si>
    <t xml:space="preserve">B0017295</t>
  </si>
  <si>
    <t xml:space="preserve">L00000214</t>
  </si>
  <si>
    <t xml:space="preserve">B0000396</t>
  </si>
  <si>
    <t xml:space="preserve">L00000215</t>
  </si>
  <si>
    <t xml:space="preserve">B0023591</t>
  </si>
  <si>
    <t xml:space="preserve">L00000216</t>
  </si>
  <si>
    <t xml:space="preserve">B0049480</t>
  </si>
  <si>
    <t xml:space="preserve">L00000217</t>
  </si>
  <si>
    <t xml:space="preserve">B0016692</t>
  </si>
  <si>
    <t xml:space="preserve">L00000218</t>
  </si>
  <si>
    <t xml:space="preserve">B0069722</t>
  </si>
  <si>
    <t xml:space="preserve">L00000219</t>
  </si>
  <si>
    <t xml:space="preserve">B0002051</t>
  </si>
  <si>
    <t xml:space="preserve">L00000220</t>
  </si>
  <si>
    <t xml:space="preserve">B0030716</t>
  </si>
  <si>
    <t xml:space="preserve">L00000221</t>
  </si>
  <si>
    <t xml:space="preserve">B0042031</t>
  </si>
  <si>
    <t xml:space="preserve">L00000222</t>
  </si>
  <si>
    <t xml:space="preserve">B0077551</t>
  </si>
  <si>
    <t xml:space="preserve">L00000223</t>
  </si>
  <si>
    <t xml:space="preserve">B0019559</t>
  </si>
  <si>
    <t xml:space="preserve">L00000224</t>
  </si>
  <si>
    <t xml:space="preserve">B0060690</t>
  </si>
  <si>
    <t xml:space="preserve">L00000225</t>
  </si>
  <si>
    <t xml:space="preserve">B0058955</t>
  </si>
  <si>
    <t xml:space="preserve">L00000226</t>
  </si>
  <si>
    <t xml:space="preserve">B0005184</t>
  </si>
  <si>
    <t xml:space="preserve">L00000227</t>
  </si>
  <si>
    <t xml:space="preserve">B0027763</t>
  </si>
  <si>
    <t xml:space="preserve">L00000228</t>
  </si>
  <si>
    <t xml:space="preserve">B0031370</t>
  </si>
  <si>
    <t xml:space="preserve">L00000229</t>
  </si>
  <si>
    <t xml:space="preserve">B0094689</t>
  </si>
  <si>
    <t xml:space="preserve">L00000230</t>
  </si>
  <si>
    <t xml:space="preserve">B0097158</t>
  </si>
  <si>
    <t xml:space="preserve">L00000231</t>
  </si>
  <si>
    <t xml:space="preserve">B0032209</t>
  </si>
  <si>
    <t xml:space="preserve">L00000232</t>
  </si>
  <si>
    <t xml:space="preserve">B0022051</t>
  </si>
  <si>
    <t xml:space="preserve">L00000233</t>
  </si>
  <si>
    <t xml:space="preserve">B0087585</t>
  </si>
  <si>
    <t xml:space="preserve">L00000234</t>
  </si>
  <si>
    <t xml:space="preserve">B0059771</t>
  </si>
  <si>
    <t xml:space="preserve">L00000235</t>
  </si>
  <si>
    <t xml:space="preserve">B0002193</t>
  </si>
  <si>
    <t xml:space="preserve">L00000236</t>
  </si>
  <si>
    <t xml:space="preserve">B0023497</t>
  </si>
  <si>
    <t xml:space="preserve">L00000237</t>
  </si>
  <si>
    <t xml:space="preserve">B0060162</t>
  </si>
  <si>
    <t xml:space="preserve">L00000238</t>
  </si>
  <si>
    <t xml:space="preserve">B0062391</t>
  </si>
  <si>
    <t xml:space="preserve">L00000239</t>
  </si>
  <si>
    <t xml:space="preserve">B0030116</t>
  </si>
  <si>
    <t xml:space="preserve">L00000240</t>
  </si>
  <si>
    <t xml:space="preserve">B0036750</t>
  </si>
  <si>
    <t xml:space="preserve">L00000241</t>
  </si>
  <si>
    <t xml:space="preserve">B0039227</t>
  </si>
  <si>
    <t xml:space="preserve">L00000242</t>
  </si>
  <si>
    <t xml:space="preserve">B0090350</t>
  </si>
  <si>
    <t xml:space="preserve">L00000243</t>
  </si>
  <si>
    <t xml:space="preserve">B0051997</t>
  </si>
  <si>
    <t xml:space="preserve">L00000244</t>
  </si>
  <si>
    <t xml:space="preserve">B0056604</t>
  </si>
  <si>
    <t xml:space="preserve">L00000245</t>
  </si>
  <si>
    <t xml:space="preserve">B0083087</t>
  </si>
  <si>
    <t xml:space="preserve">L00000246</t>
  </si>
  <si>
    <t xml:space="preserve">B0013400</t>
  </si>
  <si>
    <t xml:space="preserve">L00000247</t>
  </si>
  <si>
    <t xml:space="preserve">B0042524</t>
  </si>
  <si>
    <t xml:space="preserve">L00000248</t>
  </si>
  <si>
    <t xml:space="preserve">B0049904</t>
  </si>
  <si>
    <t xml:space="preserve">L00000249</t>
  </si>
  <si>
    <t xml:space="preserve">B0032991</t>
  </si>
  <si>
    <t xml:space="preserve">L00000250</t>
  </si>
  <si>
    <t xml:space="preserve">B0051865</t>
  </si>
  <si>
    <t xml:space="preserve">L00000251</t>
  </si>
  <si>
    <t xml:space="preserve">B0062785</t>
  </si>
  <si>
    <t xml:space="preserve">L00000252</t>
  </si>
  <si>
    <t xml:space="preserve">B0036740</t>
  </si>
  <si>
    <t xml:space="preserve">L00000253</t>
  </si>
  <si>
    <t xml:space="preserve">B0095318</t>
  </si>
  <si>
    <t xml:space="preserve">L00000254</t>
  </si>
  <si>
    <t xml:space="preserve">B0039693</t>
  </si>
  <si>
    <t xml:space="preserve">L00000255</t>
  </si>
  <si>
    <t xml:space="preserve">B0090664</t>
  </si>
  <si>
    <t xml:space="preserve">L00000256</t>
  </si>
  <si>
    <t xml:space="preserve">B0046532</t>
  </si>
  <si>
    <t xml:space="preserve">L00000257</t>
  </si>
  <si>
    <t xml:space="preserve">B0029099</t>
  </si>
  <si>
    <t xml:space="preserve">L00000258</t>
  </si>
  <si>
    <t xml:space="preserve">B0077148</t>
  </si>
  <si>
    <t xml:space="preserve">L00000259</t>
  </si>
  <si>
    <t xml:space="preserve">B0059682</t>
  </si>
  <si>
    <t xml:space="preserve">L00000260</t>
  </si>
  <si>
    <t xml:space="preserve">B0039357</t>
  </si>
  <si>
    <t xml:space="preserve">L00000261</t>
  </si>
  <si>
    <t xml:space="preserve">B0073381</t>
  </si>
  <si>
    <t xml:space="preserve">L00000262</t>
  </si>
  <si>
    <t xml:space="preserve">B0096651</t>
  </si>
  <si>
    <t xml:space="preserve">L00000263</t>
  </si>
  <si>
    <t xml:space="preserve">B0013337</t>
  </si>
  <si>
    <t xml:space="preserve">L00000264</t>
  </si>
  <si>
    <t xml:space="preserve">B0069169</t>
  </si>
  <si>
    <t xml:space="preserve">L00000265</t>
  </si>
  <si>
    <t xml:space="preserve">B0038987</t>
  </si>
  <si>
    <t xml:space="preserve">L00000266</t>
  </si>
  <si>
    <t xml:space="preserve">B0090891</t>
  </si>
  <si>
    <t xml:space="preserve">L00000267</t>
  </si>
  <si>
    <t xml:space="preserve">B0022707</t>
  </si>
  <si>
    <t xml:space="preserve">L00000268</t>
  </si>
  <si>
    <t xml:space="preserve">B0001257</t>
  </si>
  <si>
    <t xml:space="preserve">L00000269</t>
  </si>
  <si>
    <t xml:space="preserve">B0021923</t>
  </si>
  <si>
    <t xml:space="preserve">L00000270</t>
  </si>
  <si>
    <t xml:space="preserve">B0059943</t>
  </si>
  <si>
    <t xml:space="preserve">L00000271</t>
  </si>
  <si>
    <t xml:space="preserve">B0099616</t>
  </si>
  <si>
    <t xml:space="preserve">L00000272</t>
  </si>
  <si>
    <t xml:space="preserve">B0034448</t>
  </si>
  <si>
    <t xml:space="preserve">L00000273</t>
  </si>
  <si>
    <t xml:space="preserve">B0093160</t>
  </si>
  <si>
    <t xml:space="preserve">L00000274</t>
  </si>
  <si>
    <t xml:space="preserve">B0078232</t>
  </si>
  <si>
    <t xml:space="preserve">L00000275</t>
  </si>
  <si>
    <t xml:space="preserve">B0007771</t>
  </si>
  <si>
    <t xml:space="preserve">L00000276</t>
  </si>
  <si>
    <t xml:space="preserve">B0099808</t>
  </si>
  <si>
    <t xml:space="preserve">L00000277</t>
  </si>
  <si>
    <t xml:space="preserve">B0012203</t>
  </si>
  <si>
    <t xml:space="preserve">L00000278</t>
  </si>
  <si>
    <t xml:space="preserve">B0096040</t>
  </si>
  <si>
    <t xml:space="preserve">L00000279</t>
  </si>
  <si>
    <t xml:space="preserve">B0064844</t>
  </si>
  <si>
    <t xml:space="preserve">L00000280</t>
  </si>
  <si>
    <t xml:space="preserve">B0099911</t>
  </si>
  <si>
    <t xml:space="preserve">L00000281</t>
  </si>
  <si>
    <t xml:space="preserve">B0026519</t>
  </si>
  <si>
    <t xml:space="preserve">L00000282</t>
  </si>
  <si>
    <t xml:space="preserve">B0010804</t>
  </si>
  <si>
    <t xml:space="preserve">L00000283</t>
  </si>
  <si>
    <t xml:space="preserve">B0027974</t>
  </si>
  <si>
    <t xml:space="preserve">L00000284</t>
  </si>
  <si>
    <t xml:space="preserve">B0055354</t>
  </si>
  <si>
    <t xml:space="preserve">L00000285</t>
  </si>
  <si>
    <t xml:space="preserve">B0098718</t>
  </si>
  <si>
    <t xml:space="preserve">L00000286</t>
  </si>
  <si>
    <t xml:space="preserve">B0057685</t>
  </si>
  <si>
    <t xml:space="preserve">L00000287</t>
  </si>
  <si>
    <t xml:space="preserve">B0016143</t>
  </si>
  <si>
    <t xml:space="preserve">L00000288</t>
  </si>
  <si>
    <t xml:space="preserve">B0072535</t>
  </si>
  <si>
    <t xml:space="preserve">L00000289</t>
  </si>
  <si>
    <t xml:space="preserve">B0051348</t>
  </si>
  <si>
    <t xml:space="preserve">L00000290</t>
  </si>
  <si>
    <t xml:space="preserve">B0077848</t>
  </si>
  <si>
    <t xml:space="preserve">L00000291</t>
  </si>
  <si>
    <t xml:space="preserve">B0099973</t>
  </si>
  <si>
    <t xml:space="preserve">L00000292</t>
  </si>
  <si>
    <t xml:space="preserve">B0052164</t>
  </si>
  <si>
    <t xml:space="preserve">L00000293</t>
  </si>
  <si>
    <t xml:space="preserve">B0040621</t>
  </si>
  <si>
    <t xml:space="preserve">L00000294</t>
  </si>
  <si>
    <t xml:space="preserve">B0085176</t>
  </si>
  <si>
    <t xml:space="preserve">L00000295</t>
  </si>
  <si>
    <t xml:space="preserve">B0080255</t>
  </si>
  <si>
    <t xml:space="preserve">L00000296</t>
  </si>
  <si>
    <t xml:space="preserve">B0021474</t>
  </si>
  <si>
    <t xml:space="preserve">L00000297</t>
  </si>
  <si>
    <t xml:space="preserve">B0015474</t>
  </si>
  <si>
    <t xml:space="preserve">L00000298</t>
  </si>
  <si>
    <t xml:space="preserve">B0082252</t>
  </si>
  <si>
    <t xml:space="preserve">L00000299</t>
  </si>
  <si>
    <t xml:space="preserve">B0088359</t>
  </si>
  <si>
    <t xml:space="preserve">L00000300</t>
  </si>
  <si>
    <t xml:space="preserve">B0019672</t>
  </si>
  <si>
    <t xml:space="preserve">L00000301</t>
  </si>
  <si>
    <t xml:space="preserve">B0041935</t>
  </si>
  <si>
    <t xml:space="preserve">L00000302</t>
  </si>
  <si>
    <t xml:space="preserve">B0006020</t>
  </si>
  <si>
    <t xml:space="preserve">L00000303</t>
  </si>
  <si>
    <t xml:space="preserve">B0038220</t>
  </si>
  <si>
    <t xml:space="preserve">L00000304</t>
  </si>
  <si>
    <t xml:space="preserve">B0025615</t>
  </si>
  <si>
    <t xml:space="preserve">L00000305</t>
  </si>
  <si>
    <t xml:space="preserve">B0001258</t>
  </si>
  <si>
    <t xml:space="preserve">L00000306</t>
  </si>
  <si>
    <t xml:space="preserve">B0064492</t>
  </si>
  <si>
    <t xml:space="preserve">L00000307</t>
  </si>
  <si>
    <t xml:space="preserve">B0098029</t>
  </si>
  <si>
    <t xml:space="preserve">L00000308</t>
  </si>
  <si>
    <t xml:space="preserve">B0017133</t>
  </si>
  <si>
    <t xml:space="preserve">L00000309</t>
  </si>
  <si>
    <t xml:space="preserve">B0026570</t>
  </si>
  <si>
    <t xml:space="preserve">L00000310</t>
  </si>
  <si>
    <t xml:space="preserve">B0070245</t>
  </si>
  <si>
    <t xml:space="preserve">L00000311</t>
  </si>
  <si>
    <t xml:space="preserve">B0079077</t>
  </si>
  <si>
    <t xml:space="preserve">L00000312</t>
  </si>
  <si>
    <t xml:space="preserve">B0039170</t>
  </si>
  <si>
    <t xml:space="preserve">L00000313</t>
  </si>
  <si>
    <t xml:space="preserve">B0018323</t>
  </si>
  <si>
    <t xml:space="preserve">L00000314</t>
  </si>
  <si>
    <t xml:space="preserve">B0082615</t>
  </si>
  <si>
    <t xml:space="preserve">L00000315</t>
  </si>
  <si>
    <t xml:space="preserve">B0043457</t>
  </si>
  <si>
    <t xml:space="preserve">L00000316</t>
  </si>
  <si>
    <t xml:space="preserve">B0055924</t>
  </si>
  <si>
    <t xml:space="preserve">L00000317</t>
  </si>
  <si>
    <t xml:space="preserve">B0072180</t>
  </si>
  <si>
    <t xml:space="preserve">L00000318</t>
  </si>
  <si>
    <t xml:space="preserve">B0082675</t>
  </si>
  <si>
    <t xml:space="preserve">L00000319</t>
  </si>
  <si>
    <t xml:space="preserve">B0042154</t>
  </si>
  <si>
    <t xml:space="preserve">L00000320</t>
  </si>
  <si>
    <t xml:space="preserve">B0069394</t>
  </si>
  <si>
    <t xml:space="preserve">L00000321</t>
  </si>
  <si>
    <t xml:space="preserve">B0007329</t>
  </si>
  <si>
    <t xml:space="preserve">L00000322</t>
  </si>
  <si>
    <t xml:space="preserve">B0096745</t>
  </si>
  <si>
    <t xml:space="preserve">L00000323</t>
  </si>
  <si>
    <t xml:space="preserve">B0064518</t>
  </si>
  <si>
    <t xml:space="preserve">L00000324</t>
  </si>
  <si>
    <t xml:space="preserve">B0000090</t>
  </si>
  <si>
    <t xml:space="preserve">L00000325</t>
  </si>
  <si>
    <t xml:space="preserve">B0018567</t>
  </si>
  <si>
    <t xml:space="preserve">L00000326</t>
  </si>
  <si>
    <t xml:space="preserve">B0013243</t>
  </si>
  <si>
    <t xml:space="preserve">L00000327</t>
  </si>
  <si>
    <t xml:space="preserve">B0080441</t>
  </si>
  <si>
    <t xml:space="preserve">L00000328</t>
  </si>
  <si>
    <t xml:space="preserve">B0023293</t>
  </si>
  <si>
    <t xml:space="preserve">L00000329</t>
  </si>
  <si>
    <t xml:space="preserve">B0080135</t>
  </si>
  <si>
    <t xml:space="preserve">L00000330</t>
  </si>
  <si>
    <t xml:space="preserve">B0041880</t>
  </si>
  <si>
    <t xml:space="preserve">L00000331</t>
  </si>
  <si>
    <t xml:space="preserve">B0008886</t>
  </si>
  <si>
    <t xml:space="preserve">L00000332</t>
  </si>
  <si>
    <t xml:space="preserve">B0054267</t>
  </si>
  <si>
    <t xml:space="preserve">L00000333</t>
  </si>
  <si>
    <t xml:space="preserve">B0038655</t>
  </si>
  <si>
    <t xml:space="preserve">L00000334</t>
  </si>
  <si>
    <t xml:space="preserve">B0012204</t>
  </si>
  <si>
    <t xml:space="preserve">L00000335</t>
  </si>
  <si>
    <t xml:space="preserve">B0024902</t>
  </si>
  <si>
    <t xml:space="preserve">L00000336</t>
  </si>
  <si>
    <t xml:space="preserve">B0006506</t>
  </si>
  <si>
    <t xml:space="preserve">L00000337</t>
  </si>
  <si>
    <t xml:space="preserve">B0012713</t>
  </si>
  <si>
    <t xml:space="preserve">L00000338</t>
  </si>
  <si>
    <t xml:space="preserve">B0064107</t>
  </si>
  <si>
    <t xml:space="preserve">L00000339</t>
  </si>
  <si>
    <t xml:space="preserve">B0060957</t>
  </si>
  <si>
    <t xml:space="preserve">L00000340</t>
  </si>
  <si>
    <t xml:space="preserve">B0054263</t>
  </si>
  <si>
    <t xml:space="preserve">L00000341</t>
  </si>
  <si>
    <t xml:space="preserve">B0030887</t>
  </si>
  <si>
    <t xml:space="preserve">L00000342</t>
  </si>
  <si>
    <t xml:space="preserve">B0088806</t>
  </si>
  <si>
    <t xml:space="preserve">L00000343</t>
  </si>
  <si>
    <t xml:space="preserve">B0089539</t>
  </si>
  <si>
    <t xml:space="preserve">L00000344</t>
  </si>
  <si>
    <t xml:space="preserve">B0050869</t>
  </si>
  <si>
    <t xml:space="preserve">L00000345</t>
  </si>
  <si>
    <t xml:space="preserve">B0019425</t>
  </si>
  <si>
    <t xml:space="preserve">L00000346</t>
  </si>
  <si>
    <t xml:space="preserve">B0070207</t>
  </si>
  <si>
    <t xml:space="preserve">L00000347</t>
  </si>
  <si>
    <t xml:space="preserve">B0079778</t>
  </si>
  <si>
    <t xml:space="preserve">L00000348</t>
  </si>
  <si>
    <t xml:space="preserve">B0048817</t>
  </si>
  <si>
    <t xml:space="preserve">L00000349</t>
  </si>
  <si>
    <t xml:space="preserve">B0042057</t>
  </si>
  <si>
    <t xml:space="preserve">L00000350</t>
  </si>
  <si>
    <t xml:space="preserve">B0063500</t>
  </si>
  <si>
    <t xml:space="preserve">L00000351</t>
  </si>
  <si>
    <t xml:space="preserve">B0074538</t>
  </si>
  <si>
    <t xml:space="preserve">L00000352</t>
  </si>
  <si>
    <t xml:space="preserve">B0092358</t>
  </si>
  <si>
    <t xml:space="preserve">L00000353</t>
  </si>
  <si>
    <t xml:space="preserve">B0062205</t>
  </si>
  <si>
    <t xml:space="preserve">L00000354</t>
  </si>
  <si>
    <t xml:space="preserve">B0021353</t>
  </si>
  <si>
    <t xml:space="preserve">L00000355</t>
  </si>
  <si>
    <t xml:space="preserve">B0089418</t>
  </si>
  <si>
    <t xml:space="preserve">L00000356</t>
  </si>
  <si>
    <t xml:space="preserve">B0093421</t>
  </si>
  <si>
    <t xml:space="preserve">L00000357</t>
  </si>
  <si>
    <t xml:space="preserve">B0081738</t>
  </si>
  <si>
    <t xml:space="preserve">L00000358</t>
  </si>
  <si>
    <t xml:space="preserve">B0089708</t>
  </si>
  <si>
    <t xml:space="preserve">L00000359</t>
  </si>
  <si>
    <t xml:space="preserve">B0007442</t>
  </si>
  <si>
    <t xml:space="preserve">L00000360</t>
  </si>
  <si>
    <t xml:space="preserve">B0038746</t>
  </si>
  <si>
    <t xml:space="preserve">L00000361</t>
  </si>
  <si>
    <t xml:space="preserve">B0083666</t>
  </si>
  <si>
    <t xml:space="preserve">L00000362</t>
  </si>
  <si>
    <t xml:space="preserve">B0023742</t>
  </si>
  <si>
    <t xml:space="preserve">L00000363</t>
  </si>
  <si>
    <t xml:space="preserve">B0097546</t>
  </si>
  <si>
    <t xml:space="preserve">L00000364</t>
  </si>
  <si>
    <t xml:space="preserve">B0061675</t>
  </si>
  <si>
    <t xml:space="preserve">L00000365</t>
  </si>
  <si>
    <t xml:space="preserve">B0039107</t>
  </si>
  <si>
    <t xml:space="preserve">L00000366</t>
  </si>
  <si>
    <t xml:space="preserve">B0059975</t>
  </si>
  <si>
    <t xml:space="preserve">L00000367</t>
  </si>
  <si>
    <t xml:space="preserve">B0027445</t>
  </si>
  <si>
    <t xml:space="preserve">L00000368</t>
  </si>
  <si>
    <t xml:space="preserve">B0052874</t>
  </si>
  <si>
    <t xml:space="preserve">L00000369</t>
  </si>
  <si>
    <t xml:space="preserve">B0082142</t>
  </si>
  <si>
    <t xml:space="preserve">L00000370</t>
  </si>
  <si>
    <t xml:space="preserve">B0021892</t>
  </si>
  <si>
    <t xml:space="preserve">L00000371</t>
  </si>
  <si>
    <t xml:space="preserve">B0044923</t>
  </si>
  <si>
    <t xml:space="preserve">L00000372</t>
  </si>
  <si>
    <t xml:space="preserve">B0017198</t>
  </si>
  <si>
    <t xml:space="preserve">L00000373</t>
  </si>
  <si>
    <t xml:space="preserve">B0006369</t>
  </si>
  <si>
    <t xml:space="preserve">L00000374</t>
  </si>
  <si>
    <t xml:space="preserve">B0016200</t>
  </si>
  <si>
    <t xml:space="preserve">L00000375</t>
  </si>
  <si>
    <t xml:space="preserve">B0081632</t>
  </si>
  <si>
    <t xml:space="preserve">L00000376</t>
  </si>
  <si>
    <t xml:space="preserve">B0013929</t>
  </si>
  <si>
    <t xml:space="preserve">L00000377</t>
  </si>
  <si>
    <t xml:space="preserve">B0027223</t>
  </si>
  <si>
    <t xml:space="preserve">L00000378</t>
  </si>
  <si>
    <t xml:space="preserve">B0019549</t>
  </si>
  <si>
    <t xml:space="preserve">L00000379</t>
  </si>
  <si>
    <t xml:space="preserve">B0022899</t>
  </si>
  <si>
    <t xml:space="preserve">L00000380</t>
  </si>
  <si>
    <t xml:space="preserve">B0006015</t>
  </si>
  <si>
    <t xml:space="preserve">L00000381</t>
  </si>
  <si>
    <t xml:space="preserve">B0052531</t>
  </si>
  <si>
    <t xml:space="preserve">L00000382</t>
  </si>
  <si>
    <t xml:space="preserve">B0017369</t>
  </si>
  <si>
    <t xml:space="preserve">L00000383</t>
  </si>
  <si>
    <t xml:space="preserve">B0047003</t>
  </si>
  <si>
    <t xml:space="preserve">L00000384</t>
  </si>
  <si>
    <t xml:space="preserve">B0006026</t>
  </si>
  <si>
    <t xml:space="preserve">L00000385</t>
  </si>
  <si>
    <t xml:space="preserve">B0012484</t>
  </si>
  <si>
    <t xml:space="preserve">L00000386</t>
  </si>
  <si>
    <t xml:space="preserve">B0001527</t>
  </si>
  <si>
    <t xml:space="preserve">L00000387</t>
  </si>
  <si>
    <t xml:space="preserve">B0006600</t>
  </si>
  <si>
    <t xml:space="preserve">L00000388</t>
  </si>
  <si>
    <t xml:space="preserve">B0011537</t>
  </si>
  <si>
    <t xml:space="preserve">L00000389</t>
  </si>
  <si>
    <t xml:space="preserve">B0000023</t>
  </si>
  <si>
    <t xml:space="preserve">L00000390</t>
  </si>
  <si>
    <t xml:space="preserve">B0044677</t>
  </si>
  <si>
    <t xml:space="preserve">L00000391</t>
  </si>
  <si>
    <t xml:space="preserve">B0086365</t>
  </si>
  <si>
    <t xml:space="preserve">L00000392</t>
  </si>
  <si>
    <t xml:space="preserve">B0021517</t>
  </si>
  <si>
    <t xml:space="preserve">L00000393</t>
  </si>
  <si>
    <t xml:space="preserve">B0059906</t>
  </si>
  <si>
    <t xml:space="preserve">L00000394</t>
  </si>
  <si>
    <t xml:space="preserve">B0059049</t>
  </si>
  <si>
    <t xml:space="preserve">L00000395</t>
  </si>
  <si>
    <t xml:space="preserve">B0066629</t>
  </si>
  <si>
    <t xml:space="preserve">L00000396</t>
  </si>
  <si>
    <t xml:space="preserve">B0042185</t>
  </si>
  <si>
    <t xml:space="preserve">L00000397</t>
  </si>
  <si>
    <t xml:space="preserve">B0017482</t>
  </si>
  <si>
    <t xml:space="preserve">L00000398</t>
  </si>
  <si>
    <t xml:space="preserve">B0096577</t>
  </si>
  <si>
    <t xml:space="preserve">L00000399</t>
  </si>
  <si>
    <t xml:space="preserve">B0066047</t>
  </si>
  <si>
    <t xml:space="preserve">L00000400</t>
  </si>
  <si>
    <t xml:space="preserve">B0093078</t>
  </si>
  <si>
    <t xml:space="preserve">L00000401</t>
  </si>
  <si>
    <t xml:space="preserve">B0006956</t>
  </si>
  <si>
    <t xml:space="preserve">L00000402</t>
  </si>
  <si>
    <t xml:space="preserve">B0090518</t>
  </si>
  <si>
    <t xml:space="preserve">L00000403</t>
  </si>
  <si>
    <t xml:space="preserve">B0066968</t>
  </si>
  <si>
    <t xml:space="preserve">L00000404</t>
  </si>
  <si>
    <t xml:space="preserve">B0089804</t>
  </si>
  <si>
    <t xml:space="preserve">L00000405</t>
  </si>
  <si>
    <t xml:space="preserve">B0098974</t>
  </si>
  <si>
    <t xml:space="preserve">L00000406</t>
  </si>
  <si>
    <t xml:space="preserve">B0024508</t>
  </si>
  <si>
    <t xml:space="preserve">L00000407</t>
  </si>
  <si>
    <t xml:space="preserve">B0043328</t>
  </si>
  <si>
    <t xml:space="preserve">L00000408</t>
  </si>
  <si>
    <t xml:space="preserve">B0064298</t>
  </si>
  <si>
    <t xml:space="preserve">L00000409</t>
  </si>
  <si>
    <t xml:space="preserve">B0071183</t>
  </si>
  <si>
    <t xml:space="preserve">L00000410</t>
  </si>
  <si>
    <t xml:space="preserve">B0098653</t>
  </si>
  <si>
    <t xml:space="preserve">L00000411</t>
  </si>
  <si>
    <t xml:space="preserve">B0081413</t>
  </si>
  <si>
    <t xml:space="preserve">L00000412</t>
  </si>
  <si>
    <t xml:space="preserve">B0003239</t>
  </si>
  <si>
    <t xml:space="preserve">L00000413</t>
  </si>
  <si>
    <t xml:space="preserve">B0012578</t>
  </si>
  <si>
    <t xml:space="preserve">L00000414</t>
  </si>
  <si>
    <t xml:space="preserve">B0089838</t>
  </si>
  <si>
    <t xml:space="preserve">L00000415</t>
  </si>
  <si>
    <t xml:space="preserve">B0093962</t>
  </si>
  <si>
    <t xml:space="preserve">L00000416</t>
  </si>
  <si>
    <t xml:space="preserve">B0033902</t>
  </si>
  <si>
    <t xml:space="preserve">L00000417</t>
  </si>
  <si>
    <t xml:space="preserve">B0099086</t>
  </si>
  <si>
    <t xml:space="preserve">L00000418</t>
  </si>
  <si>
    <t xml:space="preserve">B0079504</t>
  </si>
  <si>
    <t xml:space="preserve">L00000419</t>
  </si>
  <si>
    <t xml:space="preserve">B0071530</t>
  </si>
  <si>
    <t xml:space="preserve">L00000420</t>
  </si>
  <si>
    <t xml:space="preserve">B0005476</t>
  </si>
  <si>
    <t xml:space="preserve">L00000421</t>
  </si>
  <si>
    <t xml:space="preserve">B0018672</t>
  </si>
  <si>
    <t xml:space="preserve">L00000422</t>
  </si>
  <si>
    <t xml:space="preserve">B0007129</t>
  </si>
  <si>
    <t xml:space="preserve">L00000423</t>
  </si>
  <si>
    <t xml:space="preserve">B0063858</t>
  </si>
  <si>
    <t xml:space="preserve">L00000424</t>
  </si>
  <si>
    <t xml:space="preserve">B0041653</t>
  </si>
  <si>
    <t xml:space="preserve">L00000425</t>
  </si>
  <si>
    <t xml:space="preserve">B0029036</t>
  </si>
  <si>
    <t xml:space="preserve">L00000426</t>
  </si>
  <si>
    <t xml:space="preserve">B0060667</t>
  </si>
  <si>
    <t xml:space="preserve">L00000427</t>
  </si>
  <si>
    <t xml:space="preserve">B0096148</t>
  </si>
  <si>
    <t xml:space="preserve">L00000428</t>
  </si>
  <si>
    <t xml:space="preserve">B0053102</t>
  </si>
  <si>
    <t xml:space="preserve">L00000429</t>
  </si>
  <si>
    <t xml:space="preserve">B0029270</t>
  </si>
  <si>
    <t xml:space="preserve">L00000430</t>
  </si>
  <si>
    <t xml:space="preserve">B0065821</t>
  </si>
  <si>
    <t xml:space="preserve">L00000431</t>
  </si>
  <si>
    <t xml:space="preserve">B0074163</t>
  </si>
  <si>
    <t xml:space="preserve">L00000432</t>
  </si>
  <si>
    <t xml:space="preserve">B0008240</t>
  </si>
  <si>
    <t xml:space="preserve">L00000433</t>
  </si>
  <si>
    <t xml:space="preserve">B0085004</t>
  </si>
  <si>
    <t xml:space="preserve">L00000434</t>
  </si>
  <si>
    <t xml:space="preserve">B0085679</t>
  </si>
  <si>
    <t xml:space="preserve">L00000435</t>
  </si>
  <si>
    <t xml:space="preserve">B0063814</t>
  </si>
  <si>
    <t xml:space="preserve">L00000436</t>
  </si>
  <si>
    <t xml:space="preserve">B0036807</t>
  </si>
  <si>
    <t xml:space="preserve">L00000437</t>
  </si>
  <si>
    <t xml:space="preserve">B0062760</t>
  </si>
  <si>
    <t xml:space="preserve">L00000438</t>
  </si>
  <si>
    <t xml:space="preserve">B0021120</t>
  </si>
  <si>
    <t xml:space="preserve">L00000439</t>
  </si>
  <si>
    <t xml:space="preserve">B0002441</t>
  </si>
  <si>
    <t xml:space="preserve">L00000440</t>
  </si>
  <si>
    <t xml:space="preserve">B0063134</t>
  </si>
  <si>
    <t xml:space="preserve">L00000441</t>
  </si>
  <si>
    <t xml:space="preserve">B0059438</t>
  </si>
  <si>
    <t xml:space="preserve">L00000442</t>
  </si>
  <si>
    <t xml:space="preserve">B0066108</t>
  </si>
  <si>
    <t xml:space="preserve">L00000443</t>
  </si>
  <si>
    <t xml:space="preserve">B0086428</t>
  </si>
  <si>
    <t xml:space="preserve">L00000444</t>
  </si>
  <si>
    <t xml:space="preserve">B0069445</t>
  </si>
  <si>
    <t xml:space="preserve">L00000445</t>
  </si>
  <si>
    <t xml:space="preserve">B0010987</t>
  </si>
  <si>
    <t xml:space="preserve">L00000446</t>
  </si>
  <si>
    <t xml:space="preserve">B0068491</t>
  </si>
  <si>
    <t xml:space="preserve">L00000447</t>
  </si>
  <si>
    <t xml:space="preserve">B0034250</t>
  </si>
  <si>
    <t xml:space="preserve">L00000448</t>
  </si>
  <si>
    <t xml:space="preserve">B0063239</t>
  </si>
  <si>
    <t xml:space="preserve">L00000449</t>
  </si>
  <si>
    <t xml:space="preserve">B0091661</t>
  </si>
  <si>
    <t xml:space="preserve">L00000450</t>
  </si>
  <si>
    <t xml:space="preserve">B0021069</t>
  </si>
  <si>
    <t xml:space="preserve">L00000451</t>
  </si>
  <si>
    <t xml:space="preserve">B0079827</t>
  </si>
  <si>
    <t xml:space="preserve">L00000452</t>
  </si>
  <si>
    <t xml:space="preserve">B0022974</t>
  </si>
  <si>
    <t xml:space="preserve">L00000453</t>
  </si>
  <si>
    <t xml:space="preserve">B0091548</t>
  </si>
  <si>
    <t xml:space="preserve">L00000454</t>
  </si>
  <si>
    <t xml:space="preserve">B0052355</t>
  </si>
  <si>
    <t xml:space="preserve">L00000455</t>
  </si>
  <si>
    <t xml:space="preserve">B0076407</t>
  </si>
  <si>
    <t xml:space="preserve">L00000456</t>
  </si>
  <si>
    <t xml:space="preserve">B0053364</t>
  </si>
  <si>
    <t xml:space="preserve">L00000457</t>
  </si>
  <si>
    <t xml:space="preserve">B0090990</t>
  </si>
  <si>
    <t xml:space="preserve">L00000458</t>
  </si>
  <si>
    <t xml:space="preserve">B0003585</t>
  </si>
  <si>
    <t xml:space="preserve">L00000459</t>
  </si>
  <si>
    <t xml:space="preserve">B0001275</t>
  </si>
  <si>
    <t xml:space="preserve">L00000460</t>
  </si>
  <si>
    <t xml:space="preserve">B0041140</t>
  </si>
  <si>
    <t xml:space="preserve">L00000461</t>
  </si>
  <si>
    <t xml:space="preserve">B0034788</t>
  </si>
  <si>
    <t xml:space="preserve">L00000462</t>
  </si>
  <si>
    <t xml:space="preserve">B0086957</t>
  </si>
  <si>
    <t xml:space="preserve">L00000463</t>
  </si>
  <si>
    <t xml:space="preserve">B0075304</t>
  </si>
  <si>
    <t xml:space="preserve">L00000464</t>
  </si>
  <si>
    <t xml:space="preserve">B0007098</t>
  </si>
  <si>
    <t xml:space="preserve">L00000465</t>
  </si>
  <si>
    <t xml:space="preserve">B0090337</t>
  </si>
  <si>
    <t xml:space="preserve">L00000466</t>
  </si>
  <si>
    <t xml:space="preserve">B0071902</t>
  </si>
  <si>
    <t xml:space="preserve">L00000467</t>
  </si>
  <si>
    <t xml:space="preserve">B0052507</t>
  </si>
  <si>
    <t xml:space="preserve">L00000468</t>
  </si>
  <si>
    <t xml:space="preserve">B0056652</t>
  </si>
  <si>
    <t xml:space="preserve">L00000469</t>
  </si>
  <si>
    <t xml:space="preserve">B0082661</t>
  </si>
  <si>
    <t xml:space="preserve">L00000470</t>
  </si>
  <si>
    <t xml:space="preserve">B0012973</t>
  </si>
  <si>
    <t xml:space="preserve">L00000471</t>
  </si>
  <si>
    <t xml:space="preserve">B0033780</t>
  </si>
  <si>
    <t xml:space="preserve">L00000472</t>
  </si>
  <si>
    <t xml:space="preserve">B0037305</t>
  </si>
  <si>
    <t xml:space="preserve">L00000473</t>
  </si>
  <si>
    <t xml:space="preserve">B0021965</t>
  </si>
  <si>
    <t xml:space="preserve">L00000474</t>
  </si>
  <si>
    <t xml:space="preserve">B0041534</t>
  </si>
  <si>
    <t xml:space="preserve">L00000475</t>
  </si>
  <si>
    <t xml:space="preserve">B0003028</t>
  </si>
  <si>
    <t xml:space="preserve">L00000476</t>
  </si>
  <si>
    <t xml:space="preserve">B0062022</t>
  </si>
  <si>
    <t xml:space="preserve">L00000477</t>
  </si>
  <si>
    <t xml:space="preserve">B0040550</t>
  </si>
  <si>
    <t xml:space="preserve">L00000478</t>
  </si>
  <si>
    <t xml:space="preserve">B0086973</t>
  </si>
  <si>
    <t xml:space="preserve">L00000479</t>
  </si>
  <si>
    <t xml:space="preserve">B0070686</t>
  </si>
  <si>
    <t xml:space="preserve">L00000480</t>
  </si>
  <si>
    <t xml:space="preserve">B0045505</t>
  </si>
  <si>
    <t xml:space="preserve">L00000481</t>
  </si>
  <si>
    <t xml:space="preserve">B0045074</t>
  </si>
  <si>
    <t xml:space="preserve">L00000482</t>
  </si>
  <si>
    <t xml:space="preserve">B0038394</t>
  </si>
  <si>
    <t xml:space="preserve">L00000483</t>
  </si>
  <si>
    <t xml:space="preserve">B0051082</t>
  </si>
  <si>
    <t xml:space="preserve">L00000484</t>
  </si>
  <si>
    <t xml:space="preserve">B0037314</t>
  </si>
  <si>
    <t xml:space="preserve">L00000485</t>
  </si>
  <si>
    <t xml:space="preserve">B0035670</t>
  </si>
  <si>
    <t xml:space="preserve">L00000486</t>
  </si>
  <si>
    <t xml:space="preserve">B0036978</t>
  </si>
  <si>
    <t xml:space="preserve">L00000487</t>
  </si>
  <si>
    <t xml:space="preserve">B0065326</t>
  </si>
  <si>
    <t xml:space="preserve">L00000488</t>
  </si>
  <si>
    <t xml:space="preserve">B0009357</t>
  </si>
  <si>
    <t xml:space="preserve">L00000489</t>
  </si>
  <si>
    <t xml:space="preserve">B0058060</t>
  </si>
  <si>
    <t xml:space="preserve">L00000490</t>
  </si>
  <si>
    <t xml:space="preserve">B0089319</t>
  </si>
  <si>
    <t xml:space="preserve">L00000491</t>
  </si>
  <si>
    <t xml:space="preserve">B0026048</t>
  </si>
  <si>
    <t xml:space="preserve">L00000492</t>
  </si>
  <si>
    <t xml:space="preserve">B0036189</t>
  </si>
  <si>
    <t xml:space="preserve">L00000493</t>
  </si>
  <si>
    <t xml:space="preserve">B0065526</t>
  </si>
  <si>
    <t xml:space="preserve">L00000494</t>
  </si>
  <si>
    <t xml:space="preserve">B0014077</t>
  </si>
  <si>
    <t xml:space="preserve">L00000495</t>
  </si>
  <si>
    <t xml:space="preserve">B0017660</t>
  </si>
  <si>
    <t xml:space="preserve">L00000496</t>
  </si>
  <si>
    <t xml:space="preserve">B0024462</t>
  </si>
  <si>
    <t xml:space="preserve">L00000497</t>
  </si>
  <si>
    <t xml:space="preserve">B0034518</t>
  </si>
  <si>
    <t xml:space="preserve">L00000498</t>
  </si>
  <si>
    <t xml:space="preserve">B0047721</t>
  </si>
  <si>
    <t xml:space="preserve">L00000499</t>
  </si>
  <si>
    <t xml:space="preserve">B0020203</t>
  </si>
  <si>
    <t xml:space="preserve">L00000500</t>
  </si>
  <si>
    <t xml:space="preserve">B0017010</t>
  </si>
  <si>
    <t xml:space="preserve">MONTHLY DELINQUENCY &amp; NPA TREND — LAST 12 MONTHS</t>
  </si>
  <si>
    <t xml:space="preserve">Month</t>
  </si>
  <si>
    <t xml:space="preserve">Portfolio (₹ Cr)</t>
  </si>
  <si>
    <t xml:space="preserve">Gross NPA (₹ Cr)</t>
  </si>
  <si>
    <t xml:space="preserve">Provisions (₹ Cr)</t>
  </si>
  <si>
    <t xml:space="preserve">PCR</t>
  </si>
  <si>
    <t xml:space="preserve">MoM NPA Change</t>
  </si>
  <si>
    <t xml:space="preserve">YoY NPA Change</t>
  </si>
  <si>
    <t xml:space="preserve">Jun-25</t>
  </si>
  <si>
    <t xml:space="preserve">N/A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</si>
  <si>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</si>
  <si>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</si>
  <si>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</si>
  <si>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</si>
  <si>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</si>
  <si>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</si>
  <si>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</si>
  <si>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</si>
  <si>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</si>
  <si>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</si>
  <si>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</si>
  <si>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DPD BUCKET DISTRIBUTION &amp; ROLL-RATE MATRIX</t>
  </si>
  <si>
    <t xml:space="preserve">  ▸  DPD BUCKET DISTRIBUTION</t>
  </si>
  <si>
    <t xml:space="preserve">Loan Count</t>
  </si>
  <si>
    <t xml:space="preserve">% of Loans</t>
  </si>
  <si>
    <t xml:space="preserve">Balance (₹ Cr)</t>
  </si>
  <si>
    <t xml:space="preserve">% of Balance</t>
  </si>
  <si>
    <t xml:space="preserve">Provision %</t>
  </si>
  <si>
    <t xml:space="preserve">Required Provision (₹ Cr)</t>
  </si>
  <si>
    <t xml:space="preserve">Standard</t>
  </si>
  <si>
    <t xml:space="preserve">1-30 DPD</t>
  </si>
  <si>
    <t xml:space="preserve">Special Mention</t>
  </si>
  <si>
    <t xml:space="preserve">31-60 DPD</t>
  </si>
  <si>
    <t xml:space="preserve">Sub-Standard</t>
  </si>
  <si>
    <t xml:space="preserve">61-90 DPD</t>
  </si>
  <si>
    <t xml:space="preserve">91-180 DPD</t>
  </si>
  <si>
    <t xml:space="preserve">Doubtful</t>
  </si>
  <si>
    <t xml:space="preserve">180+ DPD</t>
  </si>
  <si>
    <t xml:space="preserve">Loss</t>
  </si>
  <si>
    <t xml:space="preserve">TOTAL</t>
  </si>
  <si>
    <t xml:space="preserve">  ▸  MONTHLY ROLL-RATE MATRIX  (% of balance migrating)</t>
  </si>
  <si>
    <t xml:space="preserve">From \ To</t>
  </si>
  <si>
    <t xml:space="preserve">VINTAGE COHORT NPA ANALYSIS — BY DISBURSEMENT QUARTER</t>
  </si>
  <si>
    <t xml:space="preserve">Cohort (Qtr)</t>
  </si>
  <si>
    <t xml:space="preserve">Loans Disbursed</t>
  </si>
  <si>
    <t xml:space="preserve">Amount (₹ Cr)</t>
  </si>
  <si>
    <t xml:space="preserve">NPA Loans</t>
  </si>
  <si>
    <t xml:space="preserve">NPA Amount (₹ Cr)</t>
  </si>
  <si>
    <t xml:space="preserve">Cohort NPA %</t>
  </si>
  <si>
    <t xml:space="preserve">Avg Credit Score</t>
  </si>
  <si>
    <t xml:space="preserve">Avg LTV</t>
  </si>
  <si>
    <t xml:space="preserve">Avg Interest Rate</t>
  </si>
  <si>
    <t xml:space="preserve">Risk Tier</t>
  </si>
  <si>
    <t xml:space="preserve">2018-Q1</t>
  </si>
  <si>
    <t xml:space="preserve">Low</t>
  </si>
  <si>
    <t xml:space="preserve">2018-Q2</t>
  </si>
  <si>
    <t xml:space="preserve">2018-Q3</t>
  </si>
  <si>
    <t xml:space="preserve">2018-Q4</t>
  </si>
  <si>
    <t xml:space="preserve">2019-Q1</t>
  </si>
  <si>
    <t xml:space="preserve">2019-Q2</t>
  </si>
  <si>
    <t xml:space="preserve">2019-Q3</t>
  </si>
  <si>
    <t xml:space="preserve">2019-Q4</t>
  </si>
  <si>
    <t xml:space="preserve">2020-Q1</t>
  </si>
  <si>
    <t xml:space="preserve">Moderate</t>
  </si>
  <si>
    <t xml:space="preserve">2020-Q2</t>
  </si>
  <si>
    <t xml:space="preserve">2020-Q3</t>
  </si>
  <si>
    <t xml:space="preserve">2020-Q4</t>
  </si>
  <si>
    <t xml:space="preserve">2021-Q1</t>
  </si>
  <si>
    <t xml:space="preserve">2021-Q2</t>
  </si>
  <si>
    <t xml:space="preserve">2021-Q3</t>
  </si>
  <si>
    <t xml:space="preserve">High</t>
  </si>
  <si>
    <t xml:space="preserve">2021-Q4</t>
  </si>
  <si>
    <t xml:space="preserve">2022-Q1</t>
  </si>
  <si>
    <t xml:space="preserve">2022-Q2</t>
  </si>
  <si>
    <t xml:space="preserve">2022-Q3</t>
  </si>
  <si>
    <t xml:space="preserve">2022-Q4</t>
  </si>
  <si>
    <t xml:space="preserve">2023-Q1</t>
  </si>
  <si>
    <t xml:space="preserve">2023-Q2</t>
  </si>
  <si>
    <t xml:space="preserve">2023-Q3</t>
  </si>
  <si>
    <t xml:space="preserve">2023-Q4</t>
  </si>
  <si>
    <t xml:space="preserve">NPA ANALYSIS BY PRODUCT CATEGORY</t>
  </si>
  <si>
    <t xml:space="preserve">NPA Balance (₹ Cr)</t>
  </si>
  <si>
    <t xml:space="preserve">NPA Ratio</t>
  </si>
  <si>
    <t xml:space="preserve">Provision (₹ Cr)</t>
  </si>
  <si>
    <t xml:space="preserve">TOTAL / WEIGHTED AVG</t>
  </si>
  <si>
    <t xml:space="preserve">EARLY WARNING SIGNALS — TOP AT-RISK LOANS</t>
  </si>
  <si>
    <t xml:space="preserve">Product</t>
  </si>
  <si>
    <t xml:space="preserve">Outstanding (₹)</t>
  </si>
  <si>
    <t xml:space="preserve">LTV Ratio</t>
  </si>
  <si>
    <t xml:space="preserve">Days Past Due</t>
  </si>
  <si>
    <t xml:space="preserve">Risk Score</t>
  </si>
  <si>
    <t xml:space="preserve">Risk Flag</t>
  </si>
  <si>
    <t xml:space="preserve">L00124583</t>
  </si>
  <si>
    <t xml:space="preserve">B0041823</t>
  </si>
  <si>
    <t xml:space="preserve">HIGH</t>
  </si>
  <si>
    <t xml:space="preserve">L00087221</t>
  </si>
  <si>
    <t xml:space="preserve">B0073412</t>
  </si>
  <si>
    <t xml:space="preserve">L00043904</t>
  </si>
  <si>
    <t xml:space="preserve">B0018834</t>
  </si>
  <si>
    <t xml:space="preserve">L00211476</t>
  </si>
  <si>
    <t xml:space="preserve">B0091023</t>
  </si>
  <si>
    <t xml:space="preserve">L00059312</t>
  </si>
  <si>
    <t xml:space="preserve">B0034218</t>
  </si>
  <si>
    <t xml:space="preserve">L00133009</t>
  </si>
  <si>
    <t xml:space="preserve">B0067891</t>
  </si>
  <si>
    <t xml:space="preserve">MODERATE</t>
  </si>
  <si>
    <t xml:space="preserve">L00076884</t>
  </si>
  <si>
    <t xml:space="preserve">B0023456</t>
  </si>
  <si>
    <t xml:space="preserve">L00198234</t>
  </si>
  <si>
    <t xml:space="preserve">B0081234</t>
  </si>
  <si>
    <t xml:space="preserve">L00045678</t>
  </si>
  <si>
    <t xml:space="preserve">B0056789</t>
  </si>
  <si>
    <t xml:space="preserve">WATCH</t>
  </si>
  <si>
    <t xml:space="preserve">L00312890</t>
  </si>
  <si>
    <t xml:space="preserve">B0098765</t>
  </si>
  <si>
    <t xml:space="preserve">PROVISION MATRIX — REGULATORY FRAMEWORK (RBI GUIDELINES)</t>
  </si>
  <si>
    <t xml:space="preserve">Provision Rate</t>
  </si>
  <si>
    <t xml:space="preserve">Current Balance (₹ Cr)</t>
  </si>
  <si>
    <t xml:space="preserve">Coverage Status</t>
  </si>
  <si>
    <t xml:space="preserve">Standard Assets</t>
  </si>
  <si>
    <t xml:space="preserve">Adequate</t>
  </si>
  <si>
    <t xml:space="preserve">Special Mention Accts</t>
  </si>
  <si>
    <t xml:space="preserve">Sub-Standard Assets</t>
  </si>
  <si>
    <t xml:space="preserve">Doubtful Assets</t>
  </si>
  <si>
    <t xml:space="preserve">Loss Assets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</si>
</sst>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\+0.00%;\-0.00%"/>
    <numFmt numFmtId="167" formatCode="#,##0"/>
    <numFmt numFmtId="168" formatCode="\₹#,##0"/>
    <numFmt numFmtId="169" formatCode="dd\-mmm\-yyyy"/>
    <numFmt numFmtId="170" formatCode="0.0%"/>
    <numFmt numFmtId="171" formatCode="#,##0.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D0D7E3"/>
      <name val="Arial"/>
      <family val="0"/>
      <charset val="1"/>
    </font>
    <font>
      <b val="true"/>
      <sz val="9"/>
      <color rgb="FFEF9F2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2540"/>
      <name val="Arial"/>
      <family val="0"/>
      <charset val="1"/>
    </font>
    <font>
      <b val="true"/>
      <sz val="9"/>
      <color rgb="FFFFB3B3"/>
      <name val="Arial"/>
      <family val="0"/>
      <charset val="1"/>
    </font>
    <font>
      <b val="true"/>
      <sz val="9"/>
      <color rgb="FFFFE0A0"/>
      <name val="Arial"/>
      <family val="0"/>
      <charset val="1"/>
    </font>
    <font>
      <b val="true"/>
      <sz val="9"/>
      <color rgb="FFAAFFD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8"/>
      <color rgb="FF1A2540"/>
      <name val="Arial"/>
      <family val="0"/>
      <charset val="1"/>
    </font>
    <font>
      <b val="true"/>
      <sz val="8"/>
      <color rgb="FF3B9E5F"/>
      <name val="Arial"/>
      <family val="0"/>
      <charset val="1"/>
    </font>
    <font>
      <b val="true"/>
      <sz val="8"/>
      <color rgb="FFAAFFD3"/>
      <name val="Arial"/>
      <family val="0"/>
      <charset val="1"/>
    </font>
    <font>
      <b val="true"/>
      <sz val="8"/>
      <color rgb="FFFF5050"/>
      <name val="Arial"/>
      <family val="0"/>
      <charset val="1"/>
    </font>
    <font>
      <b val="true"/>
      <sz val="8"/>
      <color rgb="FFFFE0A0"/>
      <name val="Arial"/>
      <family val="0"/>
      <charset val="1"/>
    </font>
    <font>
      <b val="true"/>
      <sz val="8"/>
      <color rgb="FFFFB380"/>
      <name val="Arial"/>
      <family val="0"/>
      <charset val="1"/>
    </font>
    <font>
      <b val="true"/>
      <sz val="8"/>
      <color rgb="FFFFBF80"/>
      <name val="Arial"/>
      <family val="0"/>
      <charset val="1"/>
    </font>
    <font>
      <b val="true"/>
      <sz val="8"/>
      <color rgb="FFFF8080"/>
      <name val="Arial"/>
      <family val="0"/>
      <charset val="1"/>
    </font>
    <font>
      <b val="true"/>
      <sz val="8"/>
      <color rgb="FFE24B4A"/>
      <name val="Arial"/>
      <family val="0"/>
      <charset val="1"/>
    </font>
    <font>
      <b val="true"/>
      <sz val="9"/>
      <color rgb="FF1A2540"/>
      <name val="Arial"/>
      <family val="0"/>
      <charset val="1"/>
    </font>
    <font>
      <b val="true"/>
      <sz val="9"/>
      <color rgb="FFFFAAAA"/>
      <name val="Arial"/>
      <family val="0"/>
      <charset val="1"/>
    </font>
    <font>
      <b val="true"/>
      <sz val="9"/>
      <color rgb="FF80FF80"/>
      <name val="Arial"/>
      <family val="0"/>
      <charset val="1"/>
    </font>
    <font>
      <b val="true"/>
      <sz val="9"/>
      <color rgb="FFFFD0D0"/>
      <name val="Arial"/>
      <family val="0"/>
      <charset val="1"/>
    </font>
    <font>
      <b val="true"/>
      <sz val="9"/>
      <color rgb="FFFFF0C0"/>
      <name val="Arial"/>
      <family val="0"/>
      <charset val="1"/>
    </font>
    <font>
      <b val="true"/>
      <sz val="9"/>
      <color rgb="FF1E4D2B"/>
      <name val="Arial"/>
      <family val="0"/>
      <charset val="1"/>
    </font>
    <font>
      <b val="true"/>
      <sz val="9"/>
      <color rgb="FF5C3A00"/>
      <name val="Arial"/>
      <family val="0"/>
      <charset val="1"/>
    </font>
    <font>
      <b val="true"/>
      <sz val="9"/>
      <color rgb="FF6B1515"/>
      <name val="Arial"/>
      <family val="0"/>
      <charset val="1"/>
    </font>
  </fonts>
  <fills count="30">
    <fill>
      <patternFill patternType="none"/>
    </fill>
    <fill>
      <patternFill patternType="gray125"/>
    </fill>
    <fill>
      <patternFill patternType="solid">
        <fgColor rgb="FF0E1117"/>
        <bgColor rgb="FF161B27"/>
      </patternFill>
    </fill>
    <fill>
      <patternFill patternType="solid">
        <fgColor rgb="FF161B27"/>
        <bgColor rgb="FF1C2333"/>
      </patternFill>
    </fill>
    <fill>
      <patternFill patternType="solid">
        <fgColor rgb="FF1C2333"/>
        <bgColor rgb="FF1A2540"/>
      </patternFill>
    </fill>
    <fill>
      <patternFill patternType="solid">
        <fgColor rgb="FF3B7DD8"/>
        <bgColor rgb="FF0066CC"/>
      </patternFill>
    </fill>
    <fill>
      <patternFill patternType="solid">
        <fgColor rgb="FFF2F5FA"/>
        <bgColor rgb="FFFFFFFF"/>
      </patternFill>
    </fill>
    <fill>
      <patternFill patternType="solid">
        <fgColor rgb="FF6B1515"/>
        <bgColor rgb="FF5C1A00"/>
      </patternFill>
    </fill>
    <fill>
      <patternFill patternType="solid">
        <fgColor rgb="FF5C3A00"/>
        <bgColor rgb="FF5C2E00"/>
      </patternFill>
    </fill>
    <fill>
      <patternFill patternType="solid">
        <fgColor rgb="FF1E4D2B"/>
        <bgColor rgb="FF0A2E0A"/>
      </patternFill>
    </fill>
    <fill>
      <patternFill patternType="solid">
        <fgColor rgb="FF3B0000"/>
        <bgColor rgb="FF4D0000"/>
      </patternFill>
    </fill>
    <fill>
      <patternFill patternType="solid">
        <fgColor rgb="FF3D3000"/>
        <bgColor rgb="FF5C2E00"/>
      </patternFill>
    </fill>
    <fill>
      <patternFill patternType="solid">
        <fgColor rgb="FF5C1A00"/>
        <bgColor rgb="FF6B1515"/>
      </patternFill>
    </fill>
    <fill>
      <patternFill patternType="solid">
        <fgColor rgb="FF5C2E00"/>
        <bgColor rgb="FF5C3A00"/>
      </patternFill>
    </fill>
    <fill>
      <patternFill patternType="solid">
        <fgColor rgb="FF4D0000"/>
        <bgColor rgb="FF3B0000"/>
      </patternFill>
    </fill>
    <fill>
      <patternFill patternType="solid">
        <fgColor rgb="FFD5EDDA"/>
        <bgColor rgb="FFD0D7E3"/>
      </patternFill>
    </fill>
    <fill>
      <patternFill patternType="solid">
        <fgColor rgb="FFFFF3CD"/>
        <bgColor rgb="FFFFF0C0"/>
      </patternFill>
    </fill>
    <fill>
      <patternFill patternType="solid">
        <fgColor rgb="FFFFE5B4"/>
        <bgColor rgb="FFFFE0A0"/>
      </patternFill>
    </fill>
    <fill>
      <patternFill patternType="solid">
        <fgColor rgb="FFFFDAB9"/>
        <bgColor rgb="FFFFE5B4"/>
      </patternFill>
    </fill>
    <fill>
      <patternFill patternType="solid">
        <fgColor rgb="FFFFCCCC"/>
        <bgColor rgb="FFFFD0D0"/>
      </patternFill>
    </fill>
    <fill>
      <patternFill patternType="solid">
        <fgColor rgb="FFFFB3B3"/>
        <bgColor rgb="FFFFAAAA"/>
      </patternFill>
    </fill>
    <fill>
      <patternFill patternType="solid">
        <fgColor rgb="FF7F1F1F"/>
        <bgColor rgb="FF6B1515"/>
      </patternFill>
    </fill>
    <fill>
      <patternFill patternType="solid">
        <fgColor rgb="FF0A2E0A"/>
        <bgColor rgb="FF161B27"/>
      </patternFill>
    </fill>
    <fill>
      <patternFill patternType="solid">
        <fgColor rgb="FFC0392B"/>
        <bgColor rgb="FFE24B4A"/>
      </patternFill>
    </fill>
    <fill>
      <patternFill patternType="solid">
        <fgColor rgb="FFBA7517"/>
        <bgColor rgb="FFE24B4A"/>
      </patternFill>
    </fill>
    <fill>
      <patternFill patternType="solid">
        <fgColor rgb="FFAAFFD3"/>
        <bgColor rgb="FFD5EDDA"/>
      </patternFill>
    </fill>
    <fill>
      <patternFill patternType="solid">
        <fgColor rgb="FFFFE0A0"/>
        <bgColor rgb="FFFFE5B4"/>
      </patternFill>
    </fill>
    <fill>
      <patternFill patternType="solid">
        <fgColor rgb="FFFF8080"/>
        <bgColor rgb="FFFFAAAA"/>
      </patternFill>
    </fill>
    <fill>
      <patternFill patternType="solid">
        <fgColor rgb="FFE24B4A"/>
        <bgColor rgb="FFFF5050"/>
      </patternFill>
    </fill>
    <fill>
      <patternFill patternType="solid">
        <fgColor rgb="FF9B59B6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5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6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0A0"/>
      <rgbColor rgb="FFFF00FF"/>
      <rgbColor rgb="FF00FFFF"/>
      <rgbColor rgb="FF6B1515"/>
      <rgbColor rgb="FF008000"/>
      <rgbColor rgb="FF0E1117"/>
      <rgbColor rgb="FFBA7517"/>
      <rgbColor rgb="FF3B0000"/>
      <rgbColor rgb="FF008080"/>
      <rgbColor rgb="FFFFCCCC"/>
      <rgbColor rgb="FF5C3A00"/>
      <rgbColor rgb="FFFFDAB9"/>
      <rgbColor rgb="FFC0392B"/>
      <rgbColor rgb="FFFFF3CD"/>
      <rgbColor rgb="FFF2F5FA"/>
      <rgbColor rgb="FF5C1A00"/>
      <rgbColor rgb="FFFF8080"/>
      <rgbColor rgb="FF0066CC"/>
      <rgbColor rgb="FFD0D7E3"/>
      <rgbColor rgb="FF161B27"/>
      <rgbColor rgb="FFFF00FF"/>
      <rgbColor rgb="FFFFE5B4"/>
      <rgbColor rgb="FF00FFFF"/>
      <rgbColor rgb="FF5C2E00"/>
      <rgbColor rgb="FF4D0000"/>
      <rgbColor rgb="FF008080"/>
      <rgbColor rgb="FF0000FF"/>
      <rgbColor rgb="FF00CCFF"/>
      <rgbColor rgb="FFAAFFD3"/>
      <rgbColor rgb="FFD5EDDA"/>
      <rgbColor rgb="FFFFF0C0"/>
      <rgbColor rgb="FFFFD0D0"/>
      <rgbColor rgb="FFFFAAAA"/>
      <rgbColor rgb="FFFFB3B3"/>
      <rgbColor rgb="FFFFBF80"/>
      <rgbColor rgb="FF3B7DD8"/>
      <rgbColor rgb="FF33CCCC"/>
      <rgbColor rgb="FF80FF80"/>
      <rgbColor rgb="FFFFB380"/>
      <rgbColor rgb="FFEF9F27"/>
      <rgbColor rgb="FFFF5050"/>
      <rgbColor rgb="FF9B59B6"/>
      <rgbColor rgb="FF969696"/>
      <rgbColor rgb="FF1A2540"/>
      <rgbColor rgb="FF3B9E5F"/>
      <rgbColor rgb="FF0A2E0A"/>
      <rgbColor rgb="FF3D3000"/>
      <rgbColor rgb="FF7F1F1F"/>
      <rgbColor rgb="FFE24B4A"/>
      <rgbColor rgb="FF1E4D2B"/>
      <rgbColor rgb="FF1C2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7" min="4" style="0" width="12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3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8" hidden="false" customHeight="true" outlineLevel="0" collapsed="false">
      <c r="A6" s="5" t="s">
        <v>13</v>
      </c>
      <c r="B6" s="6" t="n">
        <v>0.0784</v>
      </c>
      <c r="C6" s="6" t="n">
        <v>0.0742</v>
      </c>
      <c r="D6" s="7"/>
      <c r="E6" s="8" t="s">
        <v>14</v>
      </c>
      <c r="F6" s="7" t="n">
        <v>0.0215</v>
      </c>
      <c r="G6" s="6" t="n">
        <v>0.06</v>
      </c>
      <c r="H6" s="9" t="s">
        <v>15</v>
      </c>
      <c r="I6" s="8" t="s">
        <v>16</v>
      </c>
      <c r="J6" s="8" t="s">
        <v>17</v>
      </c>
    </row>
    <row r="7" customFormat="false" ht="18" hidden="false" customHeight="true" outlineLevel="0" collapsed="false">
      <c r="A7" s="10" t="s">
        <v>18</v>
      </c>
      <c r="B7" s="11" t="n">
        <v>0.0321</v>
      </c>
      <c r="C7" s="11" t="n">
        <v>0.0339</v>
      </c>
      <c r="D7" s="12"/>
      <c r="E7" s="13" t="s">
        <v>19</v>
      </c>
      <c r="F7" s="12" t="n">
        <v>0.0089</v>
      </c>
      <c r="G7" s="11" t="n">
        <v>0.03</v>
      </c>
      <c r="H7" s="14" t="s">
        <v>20</v>
      </c>
      <c r="I7" s="13" t="s">
        <v>16</v>
      </c>
      <c r="J7" s="13" t="s">
        <v>21</v>
      </c>
    </row>
    <row r="8" customFormat="false" ht="18" hidden="false" customHeight="true" outlineLevel="0" collapsed="false">
      <c r="A8" s="5" t="s">
        <v>22</v>
      </c>
      <c r="B8" s="6" t="n">
        <v>0.623</v>
      </c>
      <c r="C8" s="6" t="n">
        <v>0.618</v>
      </c>
      <c r="D8" s="7"/>
      <c r="E8" s="8" t="s">
        <v>14</v>
      </c>
      <c r="F8" s="7" t="n">
        <v>0.041</v>
      </c>
      <c r="G8" s="6" t="n">
        <v>0.65</v>
      </c>
      <c r="H8" s="15" t="s">
        <v>23</v>
      </c>
      <c r="I8" s="8" t="s">
        <v>24</v>
      </c>
      <c r="J8" s="8" t="s">
        <v>25</v>
      </c>
    </row>
    <row r="9" customFormat="false" ht="18" hidden="false" customHeight="true" outlineLevel="0" collapsed="false">
      <c r="A9" s="10" t="s">
        <v>26</v>
      </c>
      <c r="B9" s="11" t="n">
        <v>0.112</v>
      </c>
      <c r="C9" s="11" t="n">
        <v>0.106</v>
      </c>
      <c r="D9" s="12"/>
      <c r="E9" s="13" t="s">
        <v>14</v>
      </c>
      <c r="F9" s="12" t="n">
        <v>0.028</v>
      </c>
      <c r="G9" s="11" t="n">
        <v>0.09</v>
      </c>
      <c r="H9" s="9" t="s">
        <v>15</v>
      </c>
      <c r="I9" s="13" t="s">
        <v>16</v>
      </c>
      <c r="J9" s="13" t="s">
        <v>27</v>
      </c>
    </row>
    <row r="10" customFormat="false" ht="18" hidden="false" customHeight="true" outlineLevel="0" collapsed="false">
      <c r="A10" s="5" t="s">
        <v>28</v>
      </c>
      <c r="B10" s="16" t="n">
        <v>94312</v>
      </c>
      <c r="C10" s="16" t="n">
        <v>94596</v>
      </c>
      <c r="D10" s="8"/>
      <c r="E10" s="8" t="s">
        <v>19</v>
      </c>
      <c r="F10" s="8" t="n">
        <v>2841</v>
      </c>
      <c r="G10" s="8"/>
      <c r="H10" s="15" t="s">
        <v>23</v>
      </c>
      <c r="I10" s="8" t="s">
        <v>29</v>
      </c>
      <c r="J10" s="8" t="s">
        <v>30</v>
      </c>
    </row>
    <row r="11" customFormat="false" ht="18" hidden="false" customHeight="true" outlineLevel="0" collapsed="false">
      <c r="A11" s="10" t="s">
        <v>31</v>
      </c>
      <c r="B11" s="17" t="n">
        <v>8240</v>
      </c>
      <c r="C11" s="17" t="n">
        <v>8334</v>
      </c>
      <c r="D11" s="13"/>
      <c r="E11" s="13" t="s">
        <v>19</v>
      </c>
      <c r="F11" s="13" t="n">
        <v>312</v>
      </c>
      <c r="G11" s="13"/>
      <c r="H11" s="15" t="s">
        <v>23</v>
      </c>
      <c r="I11" s="13" t="s">
        <v>29</v>
      </c>
      <c r="J11" s="13" t="s">
        <v>32</v>
      </c>
    </row>
    <row r="12" customFormat="false" ht="18" hidden="false" customHeight="true" outlineLevel="0" collapsed="false">
      <c r="A12" s="5" t="s">
        <v>33</v>
      </c>
      <c r="B12" s="16" t="n">
        <v>646</v>
      </c>
      <c r="C12" s="16" t="n">
        <v>618</v>
      </c>
      <c r="D12" s="8"/>
      <c r="E12" s="8" t="s">
        <v>14</v>
      </c>
      <c r="F12" s="8" t="n">
        <v>181</v>
      </c>
      <c r="G12" s="8"/>
      <c r="H12" s="15" t="s">
        <v>23</v>
      </c>
      <c r="I12" s="8" t="s">
        <v>34</v>
      </c>
      <c r="J12" s="8" t="s">
        <v>35</v>
      </c>
    </row>
    <row r="13" customFormat="false" ht="18" hidden="false" customHeight="true" outlineLevel="0" collapsed="false">
      <c r="A13" s="10" t="s">
        <v>36</v>
      </c>
      <c r="B13" s="17" t="n">
        <v>264</v>
      </c>
      <c r="C13" s="17" t="n">
        <v>282</v>
      </c>
      <c r="D13" s="13"/>
      <c r="E13" s="13" t="s">
        <v>19</v>
      </c>
      <c r="F13" s="13" t="n">
        <v>56</v>
      </c>
      <c r="G13" s="13"/>
      <c r="H13" s="15" t="s">
        <v>23</v>
      </c>
      <c r="I13" s="13" t="s">
        <v>34</v>
      </c>
      <c r="J13" s="13" t="s">
        <v>37</v>
      </c>
    </row>
    <row r="14" customFormat="false" ht="18" hidden="false" customHeight="true" outlineLevel="0" collapsed="false">
      <c r="A14" s="5" t="s">
        <v>38</v>
      </c>
      <c r="B14" s="16" t="n">
        <v>382</v>
      </c>
      <c r="C14" s="16" t="n">
        <v>336</v>
      </c>
      <c r="D14" s="8"/>
      <c r="E14" s="8" t="s">
        <v>14</v>
      </c>
      <c r="F14" s="8" t="n">
        <v>114</v>
      </c>
      <c r="G14" s="8"/>
      <c r="H14" s="15" t="s">
        <v>23</v>
      </c>
      <c r="I14" s="8" t="s">
        <v>24</v>
      </c>
      <c r="J14" s="8" t="s">
        <v>39</v>
      </c>
    </row>
    <row r="15" customFormat="false" ht="18" hidden="false" customHeight="true" outlineLevel="0" collapsed="false">
      <c r="A15" s="10" t="s">
        <v>40</v>
      </c>
      <c r="B15" s="17" t="n">
        <v>668</v>
      </c>
      <c r="C15" s="17" t="n">
        <v>671</v>
      </c>
      <c r="D15" s="13"/>
      <c r="E15" s="13" t="s">
        <v>19</v>
      </c>
      <c r="F15" s="13" t="n">
        <v>-8</v>
      </c>
      <c r="G15" s="13" t="n">
        <v>700</v>
      </c>
      <c r="H15" s="15" t="s">
        <v>23</v>
      </c>
      <c r="I15" s="13" t="s">
        <v>16</v>
      </c>
      <c r="J15" s="13" t="s">
        <v>41</v>
      </c>
    </row>
    <row r="16" customFormat="false" ht="18" hidden="false" customHeight="true" outlineLevel="0" collapsed="false">
      <c r="A16" s="5" t="s">
        <v>42</v>
      </c>
      <c r="B16" s="6" t="n">
        <v>0.467</v>
      </c>
      <c r="C16" s="6" t="n">
        <v>0.472</v>
      </c>
      <c r="D16" s="7"/>
      <c r="E16" s="8" t="s">
        <v>19</v>
      </c>
      <c r="F16" s="7" t="n">
        <v>-0.012</v>
      </c>
      <c r="G16" s="6" t="n">
        <v>0.5</v>
      </c>
      <c r="H16" s="15" t="s">
        <v>23</v>
      </c>
      <c r="I16" s="8" t="s">
        <v>16</v>
      </c>
      <c r="J16" s="8" t="s">
        <v>43</v>
      </c>
    </row>
    <row r="17" customFormat="false" ht="18" hidden="false" customHeight="true" outlineLevel="0" collapsed="false">
      <c r="A17" s="10" t="s">
        <v>44</v>
      </c>
      <c r="B17" s="11" t="n">
        <v>0.184</v>
      </c>
      <c r="C17" s="11" t="n">
        <v>0.179</v>
      </c>
      <c r="D17" s="12"/>
      <c r="E17" s="13" t="s">
        <v>14</v>
      </c>
      <c r="F17" s="12" t="n">
        <v>0.009</v>
      </c>
      <c r="G17" s="11" t="n">
        <v>0.15</v>
      </c>
      <c r="H17" s="9" t="s">
        <v>15</v>
      </c>
      <c r="I17" s="13" t="s">
        <v>16</v>
      </c>
      <c r="J17" s="13" t="s">
        <v>45</v>
      </c>
    </row>
    <row r="18" customFormat="false" ht="18" hidden="false" customHeight="true" outlineLevel="0" collapsed="false">
      <c r="A18" s="5" t="s">
        <v>46</v>
      </c>
      <c r="B18" s="6" t="n">
        <v>0.672</v>
      </c>
      <c r="C18" s="6" t="n">
        <v>0.668</v>
      </c>
      <c r="D18" s="7"/>
      <c r="E18" s="8" t="s">
        <v>14</v>
      </c>
      <c r="F18" s="7" t="n">
        <v>0.018</v>
      </c>
      <c r="G18" s="6" t="n">
        <v>0.65</v>
      </c>
      <c r="H18" s="14" t="s">
        <v>20</v>
      </c>
      <c r="I18" s="8" t="s">
        <v>47</v>
      </c>
      <c r="J18" s="8" t="s">
        <v>48</v>
      </c>
    </row>
    <row r="19" customFormat="false" ht="18" hidden="false" customHeight="true" outlineLevel="0" collapsed="false">
      <c r="A19" s="10" t="s">
        <v>49</v>
      </c>
      <c r="B19" s="17" t="n">
        <v>16487</v>
      </c>
      <c r="C19" s="17" t="n">
        <v>15922</v>
      </c>
      <c r="D19" s="13"/>
      <c r="E19" s="13" t="s">
        <v>14</v>
      </c>
      <c r="F19" s="13" t="n">
        <v>3241</v>
      </c>
      <c r="G19" s="13"/>
      <c r="H19" s="15" t="s">
        <v>23</v>
      </c>
      <c r="I19" s="13" t="s">
        <v>47</v>
      </c>
      <c r="J19" s="13" t="s">
        <v>50</v>
      </c>
    </row>
    <row r="20" customFormat="false" ht="18" hidden="false" customHeight="true" outlineLevel="0" collapsed="false">
      <c r="A20" s="5" t="s">
        <v>51</v>
      </c>
      <c r="B20" s="6" t="n">
        <v>0.423</v>
      </c>
      <c r="C20" s="6" t="n">
        <v>0.438</v>
      </c>
      <c r="D20" s="7"/>
      <c r="E20" s="8" t="s">
        <v>19</v>
      </c>
      <c r="F20" s="7" t="n">
        <v>-0.021</v>
      </c>
      <c r="G20" s="6" t="n">
        <v>0.45</v>
      </c>
      <c r="H20" s="15" t="s">
        <v>23</v>
      </c>
      <c r="I20" s="8" t="s">
        <v>52</v>
      </c>
      <c r="J20" s="8" t="s">
        <v>53</v>
      </c>
    </row>
    <row r="21" customFormat="false" ht="18" hidden="false" customHeight="true" outlineLevel="0" collapsed="false">
      <c r="A21" s="10" t="s">
        <v>54</v>
      </c>
      <c r="B21" s="11" t="n">
        <v>0.142</v>
      </c>
      <c r="C21" s="11" t="n">
        <v>0.138</v>
      </c>
      <c r="D21" s="12"/>
      <c r="E21" s="13" t="s">
        <v>14</v>
      </c>
      <c r="F21" s="12" t="n">
        <v>0.024</v>
      </c>
      <c r="G21" s="11" t="n">
        <v>0.1</v>
      </c>
      <c r="H21" s="9" t="s">
        <v>15</v>
      </c>
      <c r="I21" s="13" t="s">
        <v>52</v>
      </c>
      <c r="J21" s="13" t="s">
        <v>55</v>
      </c>
    </row>
    <row r="22" customFormat="false" ht="18" hidden="false" customHeight="true" outlineLevel="0" collapsed="false">
      <c r="A22" s="5" t="s">
        <v>56</v>
      </c>
      <c r="B22" s="6" t="n">
        <v>0.186</v>
      </c>
      <c r="C22" s="6" t="n">
        <v>0.179</v>
      </c>
      <c r="D22" s="7"/>
      <c r="E22" s="8" t="s">
        <v>14</v>
      </c>
      <c r="F22" s="7" t="n">
        <v>0.031</v>
      </c>
      <c r="G22" s="6" t="n">
        <v>0.15</v>
      </c>
      <c r="H22" s="9" t="s">
        <v>15</v>
      </c>
      <c r="I22" s="8" t="s">
        <v>52</v>
      </c>
      <c r="J22" s="8" t="s">
        <v>57</v>
      </c>
    </row>
  </sheetData>
  <mergeCells count="3">
    <mergeCell ref="A1:J1"/>
    <mergeCell ref="A2:J2"/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11" min="8" style="0" width="14"/>
    <col collapsed="false" customWidth="true" hidden="false" outlineLevel="0" max="12" min="12" style="0" width="10"/>
    <col collapsed="false" customWidth="true" hidden="false" outlineLevel="0" max="14" min="13" style="0" width="12"/>
  </cols>
  <sheetData>
    <row r="1" customFormat="false" ht="30" hidden="false" customHeight="true" outlineLevel="0" collapsed="false">
      <c r="A1" s="18" t="s">
        <v>58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27.75" hidden="false" customHeight="true" outlineLevel="0" collapsed="false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68</v>
      </c>
      <c r="K2" s="4" t="s">
        <v>69</v>
      </c>
      <c r="L2" s="4" t="s">
        <v>70</v>
      </c>
      <c r="M2" s="4" t="s">
        <v>71</v>
      </c>
      <c r="N2" s="4" t="s">
        <v>72</v>
      </c>
    </row>
    <row r="3" customFormat="false" ht="15" hidden="false" customHeight="true" outlineLevel="0" collapsed="false">
      <c r="A3" s="19" t="s">
        <v>73</v>
      </c>
      <c r="B3" s="19" t="s">
        <v>74</v>
      </c>
      <c r="C3" s="20" t="s">
        <v>75</v>
      </c>
      <c r="D3" s="21" t="n">
        <v>1155000</v>
      </c>
      <c r="E3" s="21" t="n">
        <v>1077991.3</v>
      </c>
      <c r="F3" s="22" t="n">
        <v>0.1992</v>
      </c>
      <c r="G3" s="20" t="n">
        <v>240</v>
      </c>
      <c r="H3" s="21" t="n">
        <v>19548.92</v>
      </c>
      <c r="I3" s="23" t="n">
        <v>43457</v>
      </c>
      <c r="J3" s="23" t="n">
        <v>50657</v>
      </c>
      <c r="K3" s="20" t="s">
        <v>76</v>
      </c>
      <c r="L3" s="24" t="n">
        <v>0</v>
      </c>
      <c r="M3" s="25" t="s">
        <v>77</v>
      </c>
      <c r="N3" s="20" t="n">
        <v>733</v>
      </c>
    </row>
    <row r="4" customFormat="false" ht="15" hidden="false" customHeight="true" outlineLevel="0" collapsed="false">
      <c r="A4" s="26" t="s">
        <v>78</v>
      </c>
      <c r="B4" s="26" t="s">
        <v>79</v>
      </c>
      <c r="C4" s="27" t="s">
        <v>80</v>
      </c>
      <c r="D4" s="28" t="n">
        <v>3030000</v>
      </c>
      <c r="E4" s="28" t="n">
        <v>2940393.44</v>
      </c>
      <c r="F4" s="29" t="n">
        <v>0.172</v>
      </c>
      <c r="G4" s="27" t="n">
        <v>240</v>
      </c>
      <c r="H4" s="28" t="n">
        <v>44905.48</v>
      </c>
      <c r="I4" s="30" t="n">
        <v>44819</v>
      </c>
      <c r="J4" s="30" t="n">
        <v>52019</v>
      </c>
      <c r="K4" s="27" t="s">
        <v>81</v>
      </c>
      <c r="L4" s="31" t="n">
        <v>0</v>
      </c>
      <c r="M4" s="25" t="s">
        <v>77</v>
      </c>
      <c r="N4" s="27" t="n">
        <v>680</v>
      </c>
    </row>
    <row r="5" customFormat="false" ht="15" hidden="false" customHeight="true" outlineLevel="0" collapsed="false">
      <c r="A5" s="19" t="s">
        <v>82</v>
      </c>
      <c r="B5" s="19" t="s">
        <v>83</v>
      </c>
      <c r="C5" s="20" t="s">
        <v>84</v>
      </c>
      <c r="D5" s="21" t="n">
        <v>1425000</v>
      </c>
      <c r="E5" s="21" t="n">
        <v>0</v>
      </c>
      <c r="F5" s="22" t="n">
        <v>0.1184</v>
      </c>
      <c r="G5" s="20" t="n">
        <v>84</v>
      </c>
      <c r="H5" s="21" t="n">
        <v>25033.38</v>
      </c>
      <c r="I5" s="23" t="n">
        <v>43519</v>
      </c>
      <c r="J5" s="23" t="n">
        <v>46039</v>
      </c>
      <c r="K5" s="20" t="s">
        <v>81</v>
      </c>
      <c r="L5" s="24" t="n">
        <v>0</v>
      </c>
      <c r="M5" s="25" t="s">
        <v>77</v>
      </c>
      <c r="N5" s="20" t="n">
        <v>715</v>
      </c>
    </row>
    <row r="6" customFormat="false" ht="15" hidden="false" customHeight="true" outlineLevel="0" collapsed="false">
      <c r="A6" s="26" t="s">
        <v>85</v>
      </c>
      <c r="B6" s="26" t="s">
        <v>86</v>
      </c>
      <c r="C6" s="27" t="s">
        <v>75</v>
      </c>
      <c r="D6" s="28" t="n">
        <v>4045000</v>
      </c>
      <c r="E6" s="28" t="n">
        <v>3805281.74</v>
      </c>
      <c r="F6" s="29" t="n">
        <v>0.1981</v>
      </c>
      <c r="G6" s="27" t="n">
        <v>240</v>
      </c>
      <c r="H6" s="28" t="n">
        <v>68114.7</v>
      </c>
      <c r="I6" s="30" t="n">
        <v>43612</v>
      </c>
      <c r="J6" s="30" t="n">
        <v>50812</v>
      </c>
      <c r="K6" s="27" t="s">
        <v>81</v>
      </c>
      <c r="L6" s="31" t="n">
        <v>0</v>
      </c>
      <c r="M6" s="25" t="s">
        <v>77</v>
      </c>
      <c r="N6" s="27" t="n">
        <v>740</v>
      </c>
    </row>
    <row r="7" customFormat="false" ht="15" hidden="false" customHeight="true" outlineLevel="0" collapsed="false">
      <c r="A7" s="19" t="s">
        <v>87</v>
      </c>
      <c r="B7" s="19" t="s">
        <v>88</v>
      </c>
      <c r="C7" s="20" t="s">
        <v>75</v>
      </c>
      <c r="D7" s="21" t="n">
        <v>3538000</v>
      </c>
      <c r="E7" s="21" t="n">
        <v>0</v>
      </c>
      <c r="F7" s="22" t="n">
        <v>0.0921</v>
      </c>
      <c r="G7" s="20" t="n">
        <v>48</v>
      </c>
      <c r="H7" s="21" t="n">
        <v>88396.5</v>
      </c>
      <c r="I7" s="23" t="n">
        <v>44286</v>
      </c>
      <c r="J7" s="23" t="n">
        <v>45726</v>
      </c>
      <c r="K7" s="20" t="s">
        <v>81</v>
      </c>
      <c r="L7" s="24" t="n">
        <v>0</v>
      </c>
      <c r="M7" s="25" t="s">
        <v>77</v>
      </c>
      <c r="N7" s="20" t="n">
        <v>737</v>
      </c>
    </row>
    <row r="8" customFormat="false" ht="15" hidden="false" customHeight="true" outlineLevel="0" collapsed="false">
      <c r="A8" s="26" t="s">
        <v>89</v>
      </c>
      <c r="B8" s="26" t="s">
        <v>90</v>
      </c>
      <c r="C8" s="27" t="s">
        <v>91</v>
      </c>
      <c r="D8" s="28" t="n">
        <v>3197000</v>
      </c>
      <c r="E8" s="28" t="n">
        <v>1554961.37</v>
      </c>
      <c r="F8" s="29" t="n">
        <v>0.1415</v>
      </c>
      <c r="G8" s="27" t="n">
        <v>84</v>
      </c>
      <c r="H8" s="28" t="n">
        <v>60177.04</v>
      </c>
      <c r="I8" s="30" t="n">
        <v>44556</v>
      </c>
      <c r="J8" s="30" t="n">
        <v>47076</v>
      </c>
      <c r="K8" s="27" t="s">
        <v>81</v>
      </c>
      <c r="L8" s="31" t="n">
        <v>0</v>
      </c>
      <c r="M8" s="25" t="s">
        <v>77</v>
      </c>
      <c r="N8" s="27" t="n">
        <v>589</v>
      </c>
    </row>
    <row r="9" customFormat="false" ht="15" hidden="false" customHeight="true" outlineLevel="0" collapsed="false">
      <c r="A9" s="19" t="s">
        <v>92</v>
      </c>
      <c r="B9" s="19" t="s">
        <v>93</v>
      </c>
      <c r="C9" s="20" t="s">
        <v>75</v>
      </c>
      <c r="D9" s="21" t="n">
        <v>3659000</v>
      </c>
      <c r="E9" s="21" t="n">
        <v>2171005.72</v>
      </c>
      <c r="F9" s="22" t="n">
        <v>0.1103</v>
      </c>
      <c r="G9" s="20" t="n">
        <v>120</v>
      </c>
      <c r="H9" s="21" t="n">
        <v>50464.89</v>
      </c>
      <c r="I9" s="23" t="n">
        <v>44206</v>
      </c>
      <c r="J9" s="23" t="n">
        <v>47806</v>
      </c>
      <c r="K9" s="20" t="s">
        <v>94</v>
      </c>
      <c r="L9" s="24" t="n">
        <v>0</v>
      </c>
      <c r="M9" s="25" t="s">
        <v>77</v>
      </c>
      <c r="N9" s="20" t="n">
        <v>632</v>
      </c>
    </row>
    <row r="10" customFormat="false" ht="15" hidden="false" customHeight="true" outlineLevel="0" collapsed="false">
      <c r="A10" s="26" t="s">
        <v>95</v>
      </c>
      <c r="B10" s="26" t="s">
        <v>96</v>
      </c>
      <c r="C10" s="27" t="s">
        <v>84</v>
      </c>
      <c r="D10" s="28" t="n">
        <v>3891000</v>
      </c>
      <c r="E10" s="28" t="n">
        <v>0</v>
      </c>
      <c r="F10" s="29" t="n">
        <v>0.1205</v>
      </c>
      <c r="G10" s="27" t="n">
        <v>12</v>
      </c>
      <c r="H10" s="28" t="n">
        <v>345801.66</v>
      </c>
      <c r="I10" s="30" t="n">
        <v>44393</v>
      </c>
      <c r="J10" s="30" t="n">
        <v>44753</v>
      </c>
      <c r="K10" s="27" t="s">
        <v>81</v>
      </c>
      <c r="L10" s="31" t="n">
        <v>0</v>
      </c>
      <c r="M10" s="25" t="s">
        <v>77</v>
      </c>
      <c r="N10" s="27" t="n">
        <v>638</v>
      </c>
    </row>
    <row r="11" customFormat="false" ht="15" hidden="false" customHeight="true" outlineLevel="0" collapsed="false">
      <c r="A11" s="19" t="s">
        <v>97</v>
      </c>
      <c r="B11" s="19" t="s">
        <v>98</v>
      </c>
      <c r="C11" s="20" t="s">
        <v>99</v>
      </c>
      <c r="D11" s="21" t="n">
        <v>2008000</v>
      </c>
      <c r="E11" s="21" t="n">
        <v>1747550.93</v>
      </c>
      <c r="F11" s="22" t="n">
        <v>0.2268</v>
      </c>
      <c r="G11" s="20" t="n">
        <v>180</v>
      </c>
      <c r="H11" s="21" t="n">
        <v>39302.46</v>
      </c>
      <c r="I11" s="23" t="n">
        <v>43686</v>
      </c>
      <c r="J11" s="23" t="n">
        <v>49086</v>
      </c>
      <c r="K11" s="20" t="s">
        <v>81</v>
      </c>
      <c r="L11" s="24" t="n">
        <v>0</v>
      </c>
      <c r="M11" s="25" t="s">
        <v>77</v>
      </c>
      <c r="N11" s="20" t="n">
        <v>623</v>
      </c>
    </row>
    <row r="12" customFormat="false" ht="15" hidden="false" customHeight="true" outlineLevel="0" collapsed="false">
      <c r="A12" s="26" t="s">
        <v>100</v>
      </c>
      <c r="B12" s="26" t="s">
        <v>101</v>
      </c>
      <c r="C12" s="27" t="s">
        <v>91</v>
      </c>
      <c r="D12" s="28" t="n">
        <v>2944000</v>
      </c>
      <c r="E12" s="28" t="n">
        <v>2364323.11</v>
      </c>
      <c r="F12" s="29" t="n">
        <v>0.2242</v>
      </c>
      <c r="G12" s="27" t="n">
        <v>120</v>
      </c>
      <c r="H12" s="28" t="n">
        <v>61695.65</v>
      </c>
      <c r="I12" s="30" t="n">
        <v>44583</v>
      </c>
      <c r="J12" s="30" t="n">
        <v>48183</v>
      </c>
      <c r="K12" s="27" t="s">
        <v>81</v>
      </c>
      <c r="L12" s="31" t="n">
        <v>0</v>
      </c>
      <c r="M12" s="25" t="s">
        <v>77</v>
      </c>
      <c r="N12" s="27" t="n">
        <v>777</v>
      </c>
    </row>
    <row r="13" customFormat="false" ht="15" hidden="false" customHeight="true" outlineLevel="0" collapsed="false">
      <c r="A13" s="19" t="s">
        <v>102</v>
      </c>
      <c r="B13" s="19" t="s">
        <v>103</v>
      </c>
      <c r="C13" s="20" t="s">
        <v>80</v>
      </c>
      <c r="D13" s="21" t="n">
        <v>3156000</v>
      </c>
      <c r="E13" s="21" t="n">
        <v>1341693.61</v>
      </c>
      <c r="F13" s="22" t="n">
        <v>0.2078</v>
      </c>
      <c r="G13" s="20" t="n">
        <v>120</v>
      </c>
      <c r="H13" s="21" t="n">
        <v>62632.45</v>
      </c>
      <c r="I13" s="23" t="n">
        <v>43361</v>
      </c>
      <c r="J13" s="23" t="n">
        <v>46961</v>
      </c>
      <c r="K13" s="20" t="s">
        <v>81</v>
      </c>
      <c r="L13" s="24" t="n">
        <v>0</v>
      </c>
      <c r="M13" s="32" t="s">
        <v>104</v>
      </c>
      <c r="N13" s="20" t="n">
        <v>706</v>
      </c>
    </row>
    <row r="14" customFormat="false" ht="15" hidden="false" customHeight="true" outlineLevel="0" collapsed="false">
      <c r="A14" s="26" t="s">
        <v>105</v>
      </c>
      <c r="B14" s="26" t="s">
        <v>106</v>
      </c>
      <c r="C14" s="27" t="s">
        <v>91</v>
      </c>
      <c r="D14" s="28" t="n">
        <v>2788000</v>
      </c>
      <c r="E14" s="28" t="n">
        <v>0</v>
      </c>
      <c r="F14" s="29" t="n">
        <v>0.2311</v>
      </c>
      <c r="G14" s="27" t="n">
        <v>24</v>
      </c>
      <c r="H14" s="28" t="n">
        <v>146169.08</v>
      </c>
      <c r="I14" s="30" t="n">
        <v>45300</v>
      </c>
      <c r="J14" s="30" t="n">
        <v>46020</v>
      </c>
      <c r="K14" s="27" t="s">
        <v>81</v>
      </c>
      <c r="L14" s="31" t="n">
        <v>0</v>
      </c>
      <c r="M14" s="25" t="s">
        <v>77</v>
      </c>
      <c r="N14" s="27" t="n">
        <v>681</v>
      </c>
    </row>
    <row r="15" customFormat="false" ht="15" hidden="false" customHeight="true" outlineLevel="0" collapsed="false">
      <c r="A15" s="19" t="s">
        <v>107</v>
      </c>
      <c r="B15" s="19" t="s">
        <v>108</v>
      </c>
      <c r="C15" s="20" t="s">
        <v>91</v>
      </c>
      <c r="D15" s="21" t="n">
        <v>4385000</v>
      </c>
      <c r="E15" s="21" t="n">
        <v>3903318.89</v>
      </c>
      <c r="F15" s="22" t="n">
        <v>0.1258</v>
      </c>
      <c r="G15" s="20" t="n">
        <v>240</v>
      </c>
      <c r="H15" s="21" t="n">
        <v>50067.27</v>
      </c>
      <c r="I15" s="23" t="n">
        <v>43832</v>
      </c>
      <c r="J15" s="23" t="n">
        <v>51032</v>
      </c>
      <c r="K15" s="20" t="s">
        <v>76</v>
      </c>
      <c r="L15" s="24" t="n">
        <v>0</v>
      </c>
      <c r="M15" s="25" t="s">
        <v>77</v>
      </c>
      <c r="N15" s="20" t="n">
        <v>479</v>
      </c>
    </row>
    <row r="16" customFormat="false" ht="15" hidden="false" customHeight="true" outlineLevel="0" collapsed="false">
      <c r="A16" s="26" t="s">
        <v>109</v>
      </c>
      <c r="B16" s="26" t="s">
        <v>110</v>
      </c>
      <c r="C16" s="27" t="s">
        <v>84</v>
      </c>
      <c r="D16" s="28" t="n">
        <v>2563000</v>
      </c>
      <c r="E16" s="28" t="n">
        <v>217027.83</v>
      </c>
      <c r="F16" s="29" t="n">
        <v>0.1158</v>
      </c>
      <c r="G16" s="27" t="n">
        <v>84</v>
      </c>
      <c r="H16" s="28" t="n">
        <v>44670.31</v>
      </c>
      <c r="I16" s="30" t="n">
        <v>43762</v>
      </c>
      <c r="J16" s="30" t="n">
        <v>46282</v>
      </c>
      <c r="K16" s="27" t="s">
        <v>76</v>
      </c>
      <c r="L16" s="31" t="n">
        <v>0</v>
      </c>
      <c r="M16" s="33" t="s">
        <v>111</v>
      </c>
      <c r="N16" s="27" t="n">
        <v>726</v>
      </c>
    </row>
    <row r="17" customFormat="false" ht="15" hidden="false" customHeight="true" outlineLevel="0" collapsed="false">
      <c r="A17" s="19" t="s">
        <v>112</v>
      </c>
      <c r="B17" s="19" t="s">
        <v>113</v>
      </c>
      <c r="C17" s="20" t="s">
        <v>75</v>
      </c>
      <c r="D17" s="21" t="n">
        <v>1847000</v>
      </c>
      <c r="E17" s="21" t="n">
        <v>0.4</v>
      </c>
      <c r="F17" s="22" t="n">
        <v>0.2377</v>
      </c>
      <c r="G17" s="20" t="n">
        <v>60</v>
      </c>
      <c r="H17" s="21" t="n">
        <v>52888.14</v>
      </c>
      <c r="I17" s="23" t="n">
        <v>44081</v>
      </c>
      <c r="J17" s="23" t="n">
        <v>45881</v>
      </c>
      <c r="K17" s="20" t="s">
        <v>81</v>
      </c>
      <c r="L17" s="24" t="n">
        <v>0</v>
      </c>
      <c r="M17" s="25" t="s">
        <v>77</v>
      </c>
      <c r="N17" s="20" t="n">
        <v>631</v>
      </c>
    </row>
    <row r="18" customFormat="false" ht="15" hidden="false" customHeight="true" outlineLevel="0" collapsed="false">
      <c r="A18" s="26" t="s">
        <v>114</v>
      </c>
      <c r="B18" s="26" t="s">
        <v>115</v>
      </c>
      <c r="C18" s="27" t="s">
        <v>80</v>
      </c>
      <c r="D18" s="28" t="n">
        <v>2456000</v>
      </c>
      <c r="E18" s="28" t="n">
        <v>2049220.67</v>
      </c>
      <c r="F18" s="29" t="n">
        <v>0.0957</v>
      </c>
      <c r="G18" s="27" t="n">
        <v>240</v>
      </c>
      <c r="H18" s="28" t="n">
        <v>23005.52</v>
      </c>
      <c r="I18" s="30" t="n">
        <v>43616</v>
      </c>
      <c r="J18" s="30" t="n">
        <v>50816</v>
      </c>
      <c r="K18" s="27" t="s">
        <v>81</v>
      </c>
      <c r="L18" s="31" t="n">
        <v>0</v>
      </c>
      <c r="M18" s="33" t="s">
        <v>111</v>
      </c>
      <c r="N18" s="27" t="n">
        <v>672</v>
      </c>
    </row>
    <row r="19" customFormat="false" ht="15" hidden="false" customHeight="true" outlineLevel="0" collapsed="false">
      <c r="A19" s="19" t="s">
        <v>116</v>
      </c>
      <c r="B19" s="19" t="s">
        <v>117</v>
      </c>
      <c r="C19" s="20" t="s">
        <v>91</v>
      </c>
      <c r="D19" s="21" t="n">
        <v>1098000</v>
      </c>
      <c r="E19" s="21" t="n">
        <v>0.21</v>
      </c>
      <c r="F19" s="22" t="n">
        <v>0.1686</v>
      </c>
      <c r="G19" s="20" t="n">
        <v>48</v>
      </c>
      <c r="H19" s="21" t="n">
        <v>31603.36</v>
      </c>
      <c r="I19" s="23" t="n">
        <v>44377</v>
      </c>
      <c r="J19" s="23" t="n">
        <v>45817</v>
      </c>
      <c r="K19" s="20" t="s">
        <v>81</v>
      </c>
      <c r="L19" s="24" t="n">
        <v>0</v>
      </c>
      <c r="M19" s="25" t="s">
        <v>77</v>
      </c>
      <c r="N19" s="20" t="n">
        <v>728</v>
      </c>
    </row>
    <row r="20" customFormat="false" ht="15" hidden="false" customHeight="true" outlineLevel="0" collapsed="false">
      <c r="A20" s="26" t="s">
        <v>118</v>
      </c>
      <c r="B20" s="26" t="s">
        <v>119</v>
      </c>
      <c r="C20" s="27" t="s">
        <v>99</v>
      </c>
      <c r="D20" s="28" t="n">
        <v>2285000</v>
      </c>
      <c r="E20" s="28" t="n">
        <v>0</v>
      </c>
      <c r="F20" s="29" t="n">
        <v>0.1234</v>
      </c>
      <c r="G20" s="27" t="n">
        <v>24</v>
      </c>
      <c r="H20" s="28" t="n">
        <v>107926.05</v>
      </c>
      <c r="I20" s="30" t="n">
        <v>44485</v>
      </c>
      <c r="J20" s="30" t="n">
        <v>45205</v>
      </c>
      <c r="K20" s="27" t="s">
        <v>81</v>
      </c>
      <c r="L20" s="31" t="n">
        <v>0</v>
      </c>
      <c r="M20" s="25" t="s">
        <v>77</v>
      </c>
      <c r="N20" s="27" t="n">
        <v>609</v>
      </c>
    </row>
    <row r="21" customFormat="false" ht="15" hidden="false" customHeight="true" outlineLevel="0" collapsed="false">
      <c r="A21" s="19" t="s">
        <v>120</v>
      </c>
      <c r="B21" s="19" t="s">
        <v>121</v>
      </c>
      <c r="C21" s="20" t="s">
        <v>80</v>
      </c>
      <c r="D21" s="21" t="n">
        <v>384000</v>
      </c>
      <c r="E21" s="21" t="n">
        <v>0</v>
      </c>
      <c r="F21" s="22" t="n">
        <v>0.0899</v>
      </c>
      <c r="G21" s="20" t="n">
        <v>84</v>
      </c>
      <c r="H21" s="21" t="n">
        <v>6176.26</v>
      </c>
      <c r="I21" s="23" t="n">
        <v>43391</v>
      </c>
      <c r="J21" s="23" t="n">
        <v>45911</v>
      </c>
      <c r="K21" s="20" t="s">
        <v>76</v>
      </c>
      <c r="L21" s="24" t="n">
        <v>0</v>
      </c>
      <c r="M21" s="25" t="s">
        <v>77</v>
      </c>
      <c r="N21" s="20" t="n">
        <v>662</v>
      </c>
    </row>
    <row r="22" customFormat="false" ht="15" hidden="false" customHeight="true" outlineLevel="0" collapsed="false">
      <c r="A22" s="26" t="s">
        <v>122</v>
      </c>
      <c r="B22" s="26" t="s">
        <v>123</v>
      </c>
      <c r="C22" s="27" t="s">
        <v>91</v>
      </c>
      <c r="D22" s="28" t="n">
        <v>3631000</v>
      </c>
      <c r="E22" s="28" t="n">
        <v>3285737.55</v>
      </c>
      <c r="F22" s="29" t="n">
        <v>0.2218</v>
      </c>
      <c r="G22" s="27" t="n">
        <v>180</v>
      </c>
      <c r="H22" s="28" t="n">
        <v>69692.14</v>
      </c>
      <c r="I22" s="30" t="n">
        <v>44096</v>
      </c>
      <c r="J22" s="30" t="n">
        <v>49496</v>
      </c>
      <c r="K22" s="27" t="s">
        <v>81</v>
      </c>
      <c r="L22" s="31" t="n">
        <v>0</v>
      </c>
      <c r="M22" s="25" t="s">
        <v>77</v>
      </c>
      <c r="N22" s="27" t="n">
        <v>643</v>
      </c>
    </row>
    <row r="23" customFormat="false" ht="15" hidden="false" customHeight="true" outlineLevel="0" collapsed="false">
      <c r="A23" s="19" t="s">
        <v>124</v>
      </c>
      <c r="B23" s="19" t="s">
        <v>125</v>
      </c>
      <c r="C23" s="20" t="s">
        <v>75</v>
      </c>
      <c r="D23" s="21" t="n">
        <v>4326000</v>
      </c>
      <c r="E23" s="21" t="n">
        <v>0</v>
      </c>
      <c r="F23" s="22" t="n">
        <v>0.0934</v>
      </c>
      <c r="G23" s="20" t="n">
        <v>24</v>
      </c>
      <c r="H23" s="21" t="n">
        <v>198307.73</v>
      </c>
      <c r="I23" s="23" t="n">
        <v>43349</v>
      </c>
      <c r="J23" s="23" t="n">
        <v>44069</v>
      </c>
      <c r="K23" s="20" t="s">
        <v>81</v>
      </c>
      <c r="L23" s="24" t="n">
        <v>0</v>
      </c>
      <c r="M23" s="25" t="s">
        <v>77</v>
      </c>
      <c r="N23" s="20" t="n">
        <v>619</v>
      </c>
    </row>
    <row r="24" customFormat="false" ht="15" hidden="false" customHeight="true" outlineLevel="0" collapsed="false">
      <c r="A24" s="26" t="s">
        <v>126</v>
      </c>
      <c r="B24" s="26" t="s">
        <v>127</v>
      </c>
      <c r="C24" s="27" t="s">
        <v>80</v>
      </c>
      <c r="D24" s="28" t="n">
        <v>992000</v>
      </c>
      <c r="E24" s="28" t="n">
        <v>544235.3</v>
      </c>
      <c r="F24" s="29" t="n">
        <v>0.1545</v>
      </c>
      <c r="G24" s="27" t="n">
        <v>120</v>
      </c>
      <c r="H24" s="28" t="n">
        <v>16278.89</v>
      </c>
      <c r="I24" s="30" t="n">
        <v>43852</v>
      </c>
      <c r="J24" s="30" t="n">
        <v>47452</v>
      </c>
      <c r="K24" s="27" t="s">
        <v>81</v>
      </c>
      <c r="L24" s="31" t="n">
        <v>0</v>
      </c>
      <c r="M24" s="25" t="s">
        <v>77</v>
      </c>
      <c r="N24" s="27" t="n">
        <v>735</v>
      </c>
    </row>
    <row r="25" customFormat="false" ht="15" hidden="false" customHeight="true" outlineLevel="0" collapsed="false">
      <c r="A25" s="19" t="s">
        <v>128</v>
      </c>
      <c r="B25" s="19" t="s">
        <v>129</v>
      </c>
      <c r="C25" s="20" t="s">
        <v>91</v>
      </c>
      <c r="D25" s="21" t="n">
        <v>300000</v>
      </c>
      <c r="E25" s="21" t="n">
        <v>0</v>
      </c>
      <c r="F25" s="22" t="n">
        <v>0.2399</v>
      </c>
      <c r="G25" s="20" t="n">
        <v>12</v>
      </c>
      <c r="H25" s="21" t="n">
        <v>28366.43</v>
      </c>
      <c r="I25" s="23" t="n">
        <v>43483</v>
      </c>
      <c r="J25" s="23" t="n">
        <v>43843</v>
      </c>
      <c r="K25" s="20" t="s">
        <v>81</v>
      </c>
      <c r="L25" s="24" t="n">
        <v>0</v>
      </c>
      <c r="M25" s="25" t="s">
        <v>77</v>
      </c>
      <c r="N25" s="20" t="n">
        <v>735</v>
      </c>
    </row>
    <row r="26" customFormat="false" ht="15" hidden="false" customHeight="true" outlineLevel="0" collapsed="false">
      <c r="A26" s="26" t="s">
        <v>130</v>
      </c>
      <c r="B26" s="26" t="s">
        <v>131</v>
      </c>
      <c r="C26" s="27" t="s">
        <v>99</v>
      </c>
      <c r="D26" s="28" t="n">
        <v>4517000</v>
      </c>
      <c r="E26" s="28" t="n">
        <v>0</v>
      </c>
      <c r="F26" s="29" t="n">
        <v>0.1105</v>
      </c>
      <c r="G26" s="27" t="n">
        <v>12</v>
      </c>
      <c r="H26" s="28" t="n">
        <v>399325.31</v>
      </c>
      <c r="I26" s="30" t="n">
        <v>44700</v>
      </c>
      <c r="J26" s="30" t="n">
        <v>45060</v>
      </c>
      <c r="K26" s="27" t="s">
        <v>81</v>
      </c>
      <c r="L26" s="31" t="n">
        <v>0</v>
      </c>
      <c r="M26" s="25" t="s">
        <v>77</v>
      </c>
      <c r="N26" s="27" t="n">
        <v>592</v>
      </c>
    </row>
    <row r="27" customFormat="false" ht="15" hidden="false" customHeight="true" outlineLevel="0" collapsed="false">
      <c r="A27" s="19" t="s">
        <v>132</v>
      </c>
      <c r="B27" s="19" t="s">
        <v>133</v>
      </c>
      <c r="C27" s="20" t="s">
        <v>91</v>
      </c>
      <c r="D27" s="21" t="n">
        <v>2801000</v>
      </c>
      <c r="E27" s="21" t="n">
        <v>0.13</v>
      </c>
      <c r="F27" s="22" t="n">
        <v>0.1964</v>
      </c>
      <c r="G27" s="20" t="n">
        <v>36</v>
      </c>
      <c r="H27" s="21" t="n">
        <v>103582.12</v>
      </c>
      <c r="I27" s="23" t="n">
        <v>43878</v>
      </c>
      <c r="J27" s="23" t="n">
        <v>44958</v>
      </c>
      <c r="K27" s="20" t="s">
        <v>81</v>
      </c>
      <c r="L27" s="24" t="n">
        <v>0</v>
      </c>
      <c r="M27" s="25" t="s">
        <v>77</v>
      </c>
      <c r="N27" s="20" t="n">
        <v>850</v>
      </c>
    </row>
    <row r="28" customFormat="false" ht="15" hidden="false" customHeight="true" outlineLevel="0" collapsed="false">
      <c r="A28" s="26" t="s">
        <v>134</v>
      </c>
      <c r="B28" s="26" t="s">
        <v>135</v>
      </c>
      <c r="C28" s="27" t="s">
        <v>91</v>
      </c>
      <c r="D28" s="28" t="n">
        <v>3752000</v>
      </c>
      <c r="E28" s="28" t="n">
        <v>3393210.17</v>
      </c>
      <c r="F28" s="29" t="n">
        <v>0.0939</v>
      </c>
      <c r="G28" s="27" t="n">
        <v>180</v>
      </c>
      <c r="H28" s="28" t="n">
        <v>38930.65</v>
      </c>
      <c r="I28" s="30" t="n">
        <v>45160</v>
      </c>
      <c r="J28" s="30" t="n">
        <v>50560</v>
      </c>
      <c r="K28" s="27" t="s">
        <v>76</v>
      </c>
      <c r="L28" s="31" t="n">
        <v>0</v>
      </c>
      <c r="M28" s="33" t="s">
        <v>111</v>
      </c>
      <c r="N28" s="27" t="n">
        <v>600</v>
      </c>
    </row>
    <row r="29" customFormat="false" ht="15" hidden="false" customHeight="true" outlineLevel="0" collapsed="false">
      <c r="A29" s="19" t="s">
        <v>136</v>
      </c>
      <c r="B29" s="19" t="s">
        <v>137</v>
      </c>
      <c r="C29" s="20" t="s">
        <v>99</v>
      </c>
      <c r="D29" s="21" t="n">
        <v>4316000</v>
      </c>
      <c r="E29" s="21" t="n">
        <v>2647455.4</v>
      </c>
      <c r="F29" s="22" t="n">
        <v>0.1476</v>
      </c>
      <c r="G29" s="20" t="n">
        <v>48</v>
      </c>
      <c r="H29" s="21" t="n">
        <v>119593.09</v>
      </c>
      <c r="I29" s="23" t="n">
        <v>45472</v>
      </c>
      <c r="J29" s="23" t="n">
        <v>46912</v>
      </c>
      <c r="K29" s="20" t="s">
        <v>76</v>
      </c>
      <c r="L29" s="24" t="n">
        <v>0</v>
      </c>
      <c r="M29" s="25" t="s">
        <v>77</v>
      </c>
      <c r="N29" s="20" t="n">
        <v>697</v>
      </c>
    </row>
    <row r="30" customFormat="false" ht="15" hidden="false" customHeight="true" outlineLevel="0" collapsed="false">
      <c r="A30" s="26" t="s">
        <v>138</v>
      </c>
      <c r="B30" s="26" t="s">
        <v>139</v>
      </c>
      <c r="C30" s="27" t="s">
        <v>75</v>
      </c>
      <c r="D30" s="28" t="n">
        <v>2638000</v>
      </c>
      <c r="E30" s="28" t="n">
        <v>0</v>
      </c>
      <c r="F30" s="29" t="n">
        <v>0.2299</v>
      </c>
      <c r="G30" s="27" t="n">
        <v>48</v>
      </c>
      <c r="H30" s="28" t="n">
        <v>84537.33</v>
      </c>
      <c r="I30" s="30" t="n">
        <v>44387</v>
      </c>
      <c r="J30" s="30" t="n">
        <v>45827</v>
      </c>
      <c r="K30" s="27" t="s">
        <v>81</v>
      </c>
      <c r="L30" s="31" t="n">
        <v>0</v>
      </c>
      <c r="M30" s="25" t="s">
        <v>77</v>
      </c>
      <c r="N30" s="27" t="n">
        <v>682</v>
      </c>
    </row>
    <row r="31" customFormat="false" ht="15" hidden="false" customHeight="true" outlineLevel="0" collapsed="false">
      <c r="A31" s="19" t="s">
        <v>140</v>
      </c>
      <c r="B31" s="19" t="s">
        <v>141</v>
      </c>
      <c r="C31" s="20" t="s">
        <v>91</v>
      </c>
      <c r="D31" s="21" t="n">
        <v>409000</v>
      </c>
      <c r="E31" s="21" t="n">
        <v>0.02</v>
      </c>
      <c r="F31" s="22" t="n">
        <v>0.156</v>
      </c>
      <c r="G31" s="20" t="n">
        <v>24</v>
      </c>
      <c r="H31" s="21" t="n">
        <v>19947.83</v>
      </c>
      <c r="I31" s="23" t="n">
        <v>43401</v>
      </c>
      <c r="J31" s="23" t="n">
        <v>44121</v>
      </c>
      <c r="K31" s="20" t="s">
        <v>76</v>
      </c>
      <c r="L31" s="24" t="n">
        <v>0</v>
      </c>
      <c r="M31" s="25" t="s">
        <v>77</v>
      </c>
      <c r="N31" s="20" t="n">
        <v>616</v>
      </c>
    </row>
    <row r="32" customFormat="false" ht="15" hidden="false" customHeight="true" outlineLevel="0" collapsed="false">
      <c r="A32" s="26" t="s">
        <v>142</v>
      </c>
      <c r="B32" s="26" t="s">
        <v>143</v>
      </c>
      <c r="C32" s="27" t="s">
        <v>99</v>
      </c>
      <c r="D32" s="28" t="n">
        <v>4402000</v>
      </c>
      <c r="E32" s="28" t="n">
        <v>0</v>
      </c>
      <c r="F32" s="29" t="n">
        <v>0.1423</v>
      </c>
      <c r="G32" s="27" t="n">
        <v>36</v>
      </c>
      <c r="H32" s="28" t="n">
        <v>150942.14</v>
      </c>
      <c r="I32" s="30" t="n">
        <v>44895</v>
      </c>
      <c r="J32" s="30" t="n">
        <v>45975</v>
      </c>
      <c r="K32" s="27" t="s">
        <v>76</v>
      </c>
      <c r="L32" s="31" t="n">
        <v>0</v>
      </c>
      <c r="M32" s="25" t="s">
        <v>77</v>
      </c>
      <c r="N32" s="27" t="n">
        <v>792</v>
      </c>
    </row>
    <row r="33" customFormat="false" ht="15" hidden="false" customHeight="true" outlineLevel="0" collapsed="false">
      <c r="A33" s="19" t="s">
        <v>144</v>
      </c>
      <c r="B33" s="19" t="s">
        <v>145</v>
      </c>
      <c r="C33" s="20" t="s">
        <v>91</v>
      </c>
      <c r="D33" s="21" t="n">
        <v>4662000</v>
      </c>
      <c r="E33" s="21" t="n">
        <v>0</v>
      </c>
      <c r="F33" s="22" t="n">
        <v>0.1011</v>
      </c>
      <c r="G33" s="20" t="n">
        <v>36</v>
      </c>
      <c r="H33" s="21" t="n">
        <v>150670.51</v>
      </c>
      <c r="I33" s="23" t="n">
        <v>44184</v>
      </c>
      <c r="J33" s="23" t="n">
        <v>45264</v>
      </c>
      <c r="K33" s="20" t="s">
        <v>81</v>
      </c>
      <c r="L33" s="24" t="n">
        <v>0</v>
      </c>
      <c r="M33" s="25" t="s">
        <v>77</v>
      </c>
      <c r="N33" s="20" t="n">
        <v>619</v>
      </c>
    </row>
    <row r="34" customFormat="false" ht="15" hidden="false" customHeight="true" outlineLevel="0" collapsed="false">
      <c r="A34" s="26" t="s">
        <v>146</v>
      </c>
      <c r="B34" s="26" t="s">
        <v>147</v>
      </c>
      <c r="C34" s="27" t="s">
        <v>91</v>
      </c>
      <c r="D34" s="28" t="n">
        <v>3044000</v>
      </c>
      <c r="E34" s="28" t="n">
        <v>0</v>
      </c>
      <c r="F34" s="29" t="n">
        <v>0.1962</v>
      </c>
      <c r="G34" s="27" t="n">
        <v>48</v>
      </c>
      <c r="H34" s="28" t="n">
        <v>92014.85</v>
      </c>
      <c r="I34" s="30" t="n">
        <v>44182</v>
      </c>
      <c r="J34" s="30" t="n">
        <v>45622</v>
      </c>
      <c r="K34" s="27" t="s">
        <v>76</v>
      </c>
      <c r="L34" s="31" t="n">
        <v>0</v>
      </c>
      <c r="M34" s="25" t="s">
        <v>77</v>
      </c>
      <c r="N34" s="27" t="n">
        <v>581</v>
      </c>
    </row>
    <row r="35" customFormat="false" ht="15" hidden="false" customHeight="true" outlineLevel="0" collapsed="false">
      <c r="A35" s="19" t="s">
        <v>148</v>
      </c>
      <c r="B35" s="19" t="s">
        <v>149</v>
      </c>
      <c r="C35" s="20" t="s">
        <v>80</v>
      </c>
      <c r="D35" s="21" t="n">
        <v>68000</v>
      </c>
      <c r="E35" s="21" t="n">
        <v>0.27</v>
      </c>
      <c r="F35" s="22" t="n">
        <v>0.2045</v>
      </c>
      <c r="G35" s="20" t="n">
        <v>60</v>
      </c>
      <c r="H35" s="21" t="n">
        <v>1818.65</v>
      </c>
      <c r="I35" s="23" t="n">
        <v>43762</v>
      </c>
      <c r="J35" s="23" t="n">
        <v>45562</v>
      </c>
      <c r="K35" s="20" t="s">
        <v>94</v>
      </c>
      <c r="L35" s="24" t="n">
        <v>0</v>
      </c>
      <c r="M35" s="25" t="s">
        <v>77</v>
      </c>
      <c r="N35" s="20" t="n">
        <v>612</v>
      </c>
    </row>
    <row r="36" customFormat="false" ht="15" hidden="false" customHeight="true" outlineLevel="0" collapsed="false">
      <c r="A36" s="26" t="s">
        <v>150</v>
      </c>
      <c r="B36" s="26" t="s">
        <v>151</v>
      </c>
      <c r="C36" s="27" t="s">
        <v>80</v>
      </c>
      <c r="D36" s="28" t="n">
        <v>422000</v>
      </c>
      <c r="E36" s="28" t="n">
        <v>132838.95</v>
      </c>
      <c r="F36" s="29" t="n">
        <v>0.2219</v>
      </c>
      <c r="G36" s="27" t="n">
        <v>36</v>
      </c>
      <c r="H36" s="28" t="n">
        <v>16157.88</v>
      </c>
      <c r="I36" s="30" t="n">
        <v>45335</v>
      </c>
      <c r="J36" s="30" t="n">
        <v>46415</v>
      </c>
      <c r="K36" s="27" t="s">
        <v>81</v>
      </c>
      <c r="L36" s="31" t="n">
        <v>0</v>
      </c>
      <c r="M36" s="25" t="s">
        <v>77</v>
      </c>
      <c r="N36" s="27" t="n">
        <v>699</v>
      </c>
    </row>
    <row r="37" customFormat="false" ht="15" hidden="false" customHeight="true" outlineLevel="0" collapsed="false">
      <c r="A37" s="19" t="s">
        <v>152</v>
      </c>
      <c r="B37" s="19" t="s">
        <v>153</v>
      </c>
      <c r="C37" s="20" t="s">
        <v>91</v>
      </c>
      <c r="D37" s="21" t="n">
        <v>4669000</v>
      </c>
      <c r="E37" s="21" t="n">
        <v>0</v>
      </c>
      <c r="F37" s="22" t="n">
        <v>0.2357</v>
      </c>
      <c r="G37" s="20" t="n">
        <v>12</v>
      </c>
      <c r="H37" s="21" t="n">
        <v>440527.74</v>
      </c>
      <c r="I37" s="23" t="n">
        <v>44566</v>
      </c>
      <c r="J37" s="23" t="n">
        <v>44926</v>
      </c>
      <c r="K37" s="20" t="s">
        <v>81</v>
      </c>
      <c r="L37" s="24" t="n">
        <v>0</v>
      </c>
      <c r="M37" s="25" t="s">
        <v>77</v>
      </c>
      <c r="N37" s="20" t="n">
        <v>743</v>
      </c>
    </row>
    <row r="38" customFormat="false" ht="15" hidden="false" customHeight="true" outlineLevel="0" collapsed="false">
      <c r="A38" s="26" t="s">
        <v>154</v>
      </c>
      <c r="B38" s="26" t="s">
        <v>155</v>
      </c>
      <c r="C38" s="27" t="s">
        <v>84</v>
      </c>
      <c r="D38" s="28" t="n">
        <v>4426000</v>
      </c>
      <c r="E38" s="28" t="n">
        <v>0.11</v>
      </c>
      <c r="F38" s="29" t="n">
        <v>0.148</v>
      </c>
      <c r="G38" s="27" t="n">
        <v>36</v>
      </c>
      <c r="H38" s="28" t="n">
        <v>152995.61</v>
      </c>
      <c r="I38" s="30" t="n">
        <v>44070</v>
      </c>
      <c r="J38" s="30" t="n">
        <v>45150</v>
      </c>
      <c r="K38" s="27" t="s">
        <v>81</v>
      </c>
      <c r="L38" s="31" t="n">
        <v>0</v>
      </c>
      <c r="M38" s="25" t="s">
        <v>77</v>
      </c>
      <c r="N38" s="27" t="n">
        <v>689</v>
      </c>
    </row>
    <row r="39" customFormat="false" ht="15" hidden="false" customHeight="true" outlineLevel="0" collapsed="false">
      <c r="A39" s="19" t="s">
        <v>156</v>
      </c>
      <c r="B39" s="19" t="s">
        <v>157</v>
      </c>
      <c r="C39" s="20" t="s">
        <v>80</v>
      </c>
      <c r="D39" s="21" t="n">
        <v>4658000</v>
      </c>
      <c r="E39" s="21" t="n">
        <v>0</v>
      </c>
      <c r="F39" s="22" t="n">
        <v>0.2093</v>
      </c>
      <c r="G39" s="20" t="n">
        <v>48</v>
      </c>
      <c r="H39" s="21" t="n">
        <v>144062.89</v>
      </c>
      <c r="I39" s="23" t="n">
        <v>44193</v>
      </c>
      <c r="J39" s="23" t="n">
        <v>45633</v>
      </c>
      <c r="K39" s="20" t="s">
        <v>81</v>
      </c>
      <c r="L39" s="24" t="n">
        <v>0</v>
      </c>
      <c r="M39" s="25" t="s">
        <v>77</v>
      </c>
      <c r="N39" s="20" t="n">
        <v>663</v>
      </c>
    </row>
    <row r="40" customFormat="false" ht="15" hidden="false" customHeight="true" outlineLevel="0" collapsed="false">
      <c r="A40" s="26" t="s">
        <v>158</v>
      </c>
      <c r="B40" s="26" t="s">
        <v>159</v>
      </c>
      <c r="C40" s="27" t="s">
        <v>99</v>
      </c>
      <c r="D40" s="28" t="n">
        <v>1151000</v>
      </c>
      <c r="E40" s="28" t="n">
        <v>1069786.98</v>
      </c>
      <c r="F40" s="29" t="n">
        <v>0.2116</v>
      </c>
      <c r="G40" s="27" t="n">
        <v>180</v>
      </c>
      <c r="H40" s="28" t="n">
        <v>21208.11</v>
      </c>
      <c r="I40" s="30" t="n">
        <v>44533</v>
      </c>
      <c r="J40" s="30" t="n">
        <v>49933</v>
      </c>
      <c r="K40" s="27" t="s">
        <v>81</v>
      </c>
      <c r="L40" s="31" t="n">
        <v>0</v>
      </c>
      <c r="M40" s="25" t="s">
        <v>77</v>
      </c>
      <c r="N40" s="27" t="n">
        <v>598</v>
      </c>
    </row>
    <row r="41" customFormat="false" ht="15" hidden="false" customHeight="true" outlineLevel="0" collapsed="false">
      <c r="A41" s="19" t="s">
        <v>160</v>
      </c>
      <c r="B41" s="19" t="s">
        <v>161</v>
      </c>
      <c r="C41" s="20" t="s">
        <v>80</v>
      </c>
      <c r="D41" s="21" t="n">
        <v>4329000</v>
      </c>
      <c r="E41" s="21" t="n">
        <v>691414.05</v>
      </c>
      <c r="F41" s="22" t="n">
        <v>0.2349</v>
      </c>
      <c r="G41" s="20" t="n">
        <v>60</v>
      </c>
      <c r="H41" s="21" t="n">
        <v>123258.35</v>
      </c>
      <c r="I41" s="23" t="n">
        <v>44539</v>
      </c>
      <c r="J41" s="23" t="n">
        <v>46339</v>
      </c>
      <c r="K41" s="20" t="s">
        <v>94</v>
      </c>
      <c r="L41" s="24" t="n">
        <v>0</v>
      </c>
      <c r="M41" s="25" t="s">
        <v>77</v>
      </c>
      <c r="N41" s="20" t="n">
        <v>694</v>
      </c>
    </row>
    <row r="42" customFormat="false" ht="15" hidden="false" customHeight="true" outlineLevel="0" collapsed="false">
      <c r="A42" s="26" t="s">
        <v>162</v>
      </c>
      <c r="B42" s="26" t="s">
        <v>163</v>
      </c>
      <c r="C42" s="27" t="s">
        <v>91</v>
      </c>
      <c r="D42" s="28" t="n">
        <v>187000</v>
      </c>
      <c r="E42" s="28" t="n">
        <v>0.01</v>
      </c>
      <c r="F42" s="29" t="n">
        <v>0.2209</v>
      </c>
      <c r="G42" s="27" t="n">
        <v>60</v>
      </c>
      <c r="H42" s="28" t="n">
        <v>5174.31</v>
      </c>
      <c r="I42" s="30" t="n">
        <v>43832</v>
      </c>
      <c r="J42" s="30" t="n">
        <v>45632</v>
      </c>
      <c r="K42" s="27" t="s">
        <v>76</v>
      </c>
      <c r="L42" s="31" t="n">
        <v>0</v>
      </c>
      <c r="M42" s="25" t="s">
        <v>77</v>
      </c>
      <c r="N42" s="27" t="n">
        <v>736</v>
      </c>
    </row>
    <row r="43" customFormat="false" ht="15" hidden="false" customHeight="true" outlineLevel="0" collapsed="false">
      <c r="A43" s="19" t="s">
        <v>164</v>
      </c>
      <c r="B43" s="19" t="s">
        <v>165</v>
      </c>
      <c r="C43" s="20" t="s">
        <v>75</v>
      </c>
      <c r="D43" s="21" t="n">
        <v>2210000</v>
      </c>
      <c r="E43" s="21" t="n">
        <v>0</v>
      </c>
      <c r="F43" s="22" t="n">
        <v>0.2376</v>
      </c>
      <c r="G43" s="20" t="n">
        <v>24</v>
      </c>
      <c r="H43" s="21" t="n">
        <v>116580.57</v>
      </c>
      <c r="I43" s="23" t="n">
        <v>44678</v>
      </c>
      <c r="J43" s="23" t="n">
        <v>45398</v>
      </c>
      <c r="K43" s="20" t="s">
        <v>76</v>
      </c>
      <c r="L43" s="24" t="n">
        <v>0</v>
      </c>
      <c r="M43" s="25" t="s">
        <v>77</v>
      </c>
      <c r="N43" s="20" t="n">
        <v>590</v>
      </c>
    </row>
    <row r="44" customFormat="false" ht="15" hidden="false" customHeight="true" outlineLevel="0" collapsed="false">
      <c r="A44" s="26" t="s">
        <v>166</v>
      </c>
      <c r="B44" s="26" t="s">
        <v>167</v>
      </c>
      <c r="C44" s="27" t="s">
        <v>80</v>
      </c>
      <c r="D44" s="28" t="n">
        <v>4632000</v>
      </c>
      <c r="E44" s="28" t="n">
        <v>0.11</v>
      </c>
      <c r="F44" s="29" t="n">
        <v>0.1685</v>
      </c>
      <c r="G44" s="27" t="n">
        <v>48</v>
      </c>
      <c r="H44" s="28" t="n">
        <v>133297.36</v>
      </c>
      <c r="I44" s="30" t="n">
        <v>44592</v>
      </c>
      <c r="J44" s="30" t="n">
        <v>46032</v>
      </c>
      <c r="K44" s="27" t="s">
        <v>81</v>
      </c>
      <c r="L44" s="31" t="n">
        <v>0</v>
      </c>
      <c r="M44" s="25" t="s">
        <v>77</v>
      </c>
      <c r="N44" s="27" t="n">
        <v>785</v>
      </c>
    </row>
    <row r="45" customFormat="false" ht="15" hidden="false" customHeight="true" outlineLevel="0" collapsed="false">
      <c r="A45" s="19" t="s">
        <v>168</v>
      </c>
      <c r="B45" s="19" t="s">
        <v>169</v>
      </c>
      <c r="C45" s="20" t="s">
        <v>75</v>
      </c>
      <c r="D45" s="21" t="n">
        <v>4505000</v>
      </c>
      <c r="E45" s="21" t="n">
        <v>3219427.33</v>
      </c>
      <c r="F45" s="22" t="n">
        <v>0.1636</v>
      </c>
      <c r="G45" s="20" t="n">
        <v>120</v>
      </c>
      <c r="H45" s="21" t="n">
        <v>76478.44</v>
      </c>
      <c r="I45" s="23" t="n">
        <v>44437</v>
      </c>
      <c r="J45" s="23" t="n">
        <v>48037</v>
      </c>
      <c r="K45" s="20" t="s">
        <v>81</v>
      </c>
      <c r="L45" s="24" t="n">
        <v>0</v>
      </c>
      <c r="M45" s="25" t="s">
        <v>77</v>
      </c>
      <c r="N45" s="20" t="n">
        <v>648</v>
      </c>
    </row>
    <row r="46" customFormat="false" ht="15" hidden="false" customHeight="true" outlineLevel="0" collapsed="false">
      <c r="A46" s="26" t="s">
        <v>170</v>
      </c>
      <c r="B46" s="26" t="s">
        <v>171</v>
      </c>
      <c r="C46" s="27" t="s">
        <v>91</v>
      </c>
      <c r="D46" s="28" t="n">
        <v>4705000</v>
      </c>
      <c r="E46" s="28" t="n">
        <v>1871451.7</v>
      </c>
      <c r="F46" s="29" t="n">
        <v>0.19</v>
      </c>
      <c r="G46" s="27" t="n">
        <v>36</v>
      </c>
      <c r="H46" s="28" t="n">
        <v>172466.57</v>
      </c>
      <c r="I46" s="30" t="n">
        <v>45432</v>
      </c>
      <c r="J46" s="30" t="n">
        <v>46512</v>
      </c>
      <c r="K46" s="27" t="s">
        <v>81</v>
      </c>
      <c r="L46" s="31" t="n">
        <v>0</v>
      </c>
      <c r="M46" s="25" t="s">
        <v>77</v>
      </c>
      <c r="N46" s="27" t="n">
        <v>634</v>
      </c>
    </row>
    <row r="47" customFormat="false" ht="15" hidden="false" customHeight="true" outlineLevel="0" collapsed="false">
      <c r="A47" s="19" t="s">
        <v>172</v>
      </c>
      <c r="B47" s="19" t="s">
        <v>173</v>
      </c>
      <c r="C47" s="20" t="s">
        <v>91</v>
      </c>
      <c r="D47" s="21" t="n">
        <v>3291000</v>
      </c>
      <c r="E47" s="21" t="n">
        <v>2747628.13</v>
      </c>
      <c r="F47" s="22" t="n">
        <v>0.1571</v>
      </c>
      <c r="G47" s="20" t="n">
        <v>180</v>
      </c>
      <c r="H47" s="21" t="n">
        <v>47671.18</v>
      </c>
      <c r="I47" s="23" t="n">
        <v>43976</v>
      </c>
      <c r="J47" s="23" t="n">
        <v>49376</v>
      </c>
      <c r="K47" s="20" t="s">
        <v>76</v>
      </c>
      <c r="L47" s="24" t="n">
        <v>0</v>
      </c>
      <c r="M47" s="25" t="s">
        <v>77</v>
      </c>
      <c r="N47" s="20" t="n">
        <v>574</v>
      </c>
    </row>
    <row r="48" customFormat="false" ht="15" hidden="false" customHeight="true" outlineLevel="0" collapsed="false">
      <c r="A48" s="26" t="s">
        <v>174</v>
      </c>
      <c r="B48" s="26" t="s">
        <v>175</v>
      </c>
      <c r="C48" s="27" t="s">
        <v>80</v>
      </c>
      <c r="D48" s="28" t="n">
        <v>470000</v>
      </c>
      <c r="E48" s="28" t="n">
        <v>0.22</v>
      </c>
      <c r="F48" s="29" t="n">
        <v>0.1649</v>
      </c>
      <c r="G48" s="27" t="n">
        <v>84</v>
      </c>
      <c r="H48" s="28" t="n">
        <v>9466.81</v>
      </c>
      <c r="I48" s="30" t="n">
        <v>43483</v>
      </c>
      <c r="J48" s="30" t="n">
        <v>46003</v>
      </c>
      <c r="K48" s="27" t="s">
        <v>81</v>
      </c>
      <c r="L48" s="31" t="n">
        <v>0</v>
      </c>
      <c r="M48" s="25" t="s">
        <v>77</v>
      </c>
      <c r="N48" s="27" t="n">
        <v>714</v>
      </c>
    </row>
    <row r="49" customFormat="false" ht="15" hidden="false" customHeight="true" outlineLevel="0" collapsed="false">
      <c r="A49" s="19" t="s">
        <v>176</v>
      </c>
      <c r="B49" s="19" t="s">
        <v>177</v>
      </c>
      <c r="C49" s="20" t="s">
        <v>80</v>
      </c>
      <c r="D49" s="21" t="n">
        <v>3076000</v>
      </c>
      <c r="E49" s="21" t="n">
        <v>2899665.85</v>
      </c>
      <c r="F49" s="22" t="n">
        <v>0.2041</v>
      </c>
      <c r="G49" s="20" t="n">
        <v>180</v>
      </c>
      <c r="H49" s="21" t="n">
        <v>54957.71</v>
      </c>
      <c r="I49" s="23" t="n">
        <v>44798</v>
      </c>
      <c r="J49" s="23" t="n">
        <v>50198</v>
      </c>
      <c r="K49" s="20" t="s">
        <v>94</v>
      </c>
      <c r="L49" s="24" t="n">
        <v>0</v>
      </c>
      <c r="M49" s="25" t="s">
        <v>77</v>
      </c>
      <c r="N49" s="20" t="n">
        <v>850</v>
      </c>
    </row>
    <row r="50" customFormat="false" ht="15" hidden="false" customHeight="true" outlineLevel="0" collapsed="false">
      <c r="A50" s="26" t="s">
        <v>178</v>
      </c>
      <c r="B50" s="26" t="s">
        <v>179</v>
      </c>
      <c r="C50" s="27" t="s">
        <v>91</v>
      </c>
      <c r="D50" s="28" t="n">
        <v>1258000</v>
      </c>
      <c r="E50" s="28" t="n">
        <v>0</v>
      </c>
      <c r="F50" s="29" t="n">
        <v>0.1867</v>
      </c>
      <c r="G50" s="27" t="n">
        <v>12</v>
      </c>
      <c r="H50" s="28" t="n">
        <v>115734.94</v>
      </c>
      <c r="I50" s="30" t="n">
        <v>43537</v>
      </c>
      <c r="J50" s="30" t="n">
        <v>43897</v>
      </c>
      <c r="K50" s="27" t="s">
        <v>81</v>
      </c>
      <c r="L50" s="31" t="n">
        <v>0</v>
      </c>
      <c r="M50" s="25" t="s">
        <v>77</v>
      </c>
      <c r="N50" s="27" t="n">
        <v>735</v>
      </c>
    </row>
    <row r="51" customFormat="false" ht="15" hidden="false" customHeight="true" outlineLevel="0" collapsed="false">
      <c r="A51" s="19" t="s">
        <v>180</v>
      </c>
      <c r="B51" s="19" t="s">
        <v>181</v>
      </c>
      <c r="C51" s="20" t="s">
        <v>91</v>
      </c>
      <c r="D51" s="21" t="n">
        <v>4249000</v>
      </c>
      <c r="E51" s="21" t="n">
        <v>4039372.48</v>
      </c>
      <c r="F51" s="22" t="n">
        <v>0.1558</v>
      </c>
      <c r="G51" s="20" t="n">
        <v>180</v>
      </c>
      <c r="H51" s="21" t="n">
        <v>61165.36</v>
      </c>
      <c r="I51" s="23" t="n">
        <v>45276</v>
      </c>
      <c r="J51" s="23" t="n">
        <v>50676</v>
      </c>
      <c r="K51" s="20" t="s">
        <v>76</v>
      </c>
      <c r="L51" s="24" t="n">
        <v>0</v>
      </c>
      <c r="M51" s="33" t="s">
        <v>111</v>
      </c>
      <c r="N51" s="20" t="n">
        <v>727</v>
      </c>
    </row>
    <row r="52" customFormat="false" ht="15" hidden="false" customHeight="true" outlineLevel="0" collapsed="false">
      <c r="A52" s="26" t="s">
        <v>182</v>
      </c>
      <c r="B52" s="26" t="s">
        <v>183</v>
      </c>
      <c r="C52" s="27" t="s">
        <v>75</v>
      </c>
      <c r="D52" s="28" t="n">
        <v>3610000</v>
      </c>
      <c r="E52" s="28" t="n">
        <v>3501351.18</v>
      </c>
      <c r="F52" s="29" t="n">
        <v>0.1632</v>
      </c>
      <c r="G52" s="27" t="n">
        <v>240</v>
      </c>
      <c r="H52" s="28" t="n">
        <v>51092.99</v>
      </c>
      <c r="I52" s="30" t="n">
        <v>44927</v>
      </c>
      <c r="J52" s="30" t="n">
        <v>52127</v>
      </c>
      <c r="K52" s="27" t="s">
        <v>81</v>
      </c>
      <c r="L52" s="31" t="n">
        <v>0</v>
      </c>
      <c r="M52" s="25" t="s">
        <v>77</v>
      </c>
      <c r="N52" s="27" t="n">
        <v>688</v>
      </c>
    </row>
    <row r="53" customFormat="false" ht="15" hidden="false" customHeight="true" outlineLevel="0" collapsed="false">
      <c r="A53" s="19" t="s">
        <v>184</v>
      </c>
      <c r="B53" s="19" t="s">
        <v>185</v>
      </c>
      <c r="C53" s="20" t="s">
        <v>84</v>
      </c>
      <c r="D53" s="21" t="n">
        <v>3899000</v>
      </c>
      <c r="E53" s="21" t="n">
        <v>0.31</v>
      </c>
      <c r="F53" s="22" t="n">
        <v>0.1601</v>
      </c>
      <c r="G53" s="20" t="n">
        <v>48</v>
      </c>
      <c r="H53" s="21" t="n">
        <v>110518.72</v>
      </c>
      <c r="I53" s="23" t="n">
        <v>44225</v>
      </c>
      <c r="J53" s="23" t="n">
        <v>45665</v>
      </c>
      <c r="K53" s="20" t="s">
        <v>81</v>
      </c>
      <c r="L53" s="24" t="n">
        <v>0</v>
      </c>
      <c r="M53" s="25" t="s">
        <v>77</v>
      </c>
      <c r="N53" s="20" t="n">
        <v>704</v>
      </c>
    </row>
    <row r="54" customFormat="false" ht="15" hidden="false" customHeight="true" outlineLevel="0" collapsed="false">
      <c r="A54" s="26" t="s">
        <v>186</v>
      </c>
      <c r="B54" s="26" t="s">
        <v>187</v>
      </c>
      <c r="C54" s="27" t="s">
        <v>91</v>
      </c>
      <c r="D54" s="28" t="n">
        <v>4470000</v>
      </c>
      <c r="E54" s="28" t="n">
        <v>0</v>
      </c>
      <c r="F54" s="29" t="n">
        <v>0.0975</v>
      </c>
      <c r="G54" s="27" t="n">
        <v>36</v>
      </c>
      <c r="H54" s="28" t="n">
        <v>143710.24</v>
      </c>
      <c r="I54" s="30" t="n">
        <v>44048</v>
      </c>
      <c r="J54" s="30" t="n">
        <v>45128</v>
      </c>
      <c r="K54" s="27" t="s">
        <v>81</v>
      </c>
      <c r="L54" s="31" t="n">
        <v>0</v>
      </c>
      <c r="M54" s="25" t="s">
        <v>77</v>
      </c>
      <c r="N54" s="27" t="n">
        <v>615</v>
      </c>
    </row>
    <row r="55" customFormat="false" ht="15" hidden="false" customHeight="true" outlineLevel="0" collapsed="false">
      <c r="A55" s="19" t="s">
        <v>188</v>
      </c>
      <c r="B55" s="19" t="s">
        <v>189</v>
      </c>
      <c r="C55" s="20" t="s">
        <v>91</v>
      </c>
      <c r="D55" s="21" t="n">
        <v>358000</v>
      </c>
      <c r="E55" s="21" t="n">
        <v>126169.32</v>
      </c>
      <c r="F55" s="22" t="n">
        <v>0.2141</v>
      </c>
      <c r="G55" s="20" t="n">
        <v>120</v>
      </c>
      <c r="H55" s="21" t="n">
        <v>7256.47</v>
      </c>
      <c r="I55" s="23" t="n">
        <v>43181</v>
      </c>
      <c r="J55" s="23" t="n">
        <v>46781</v>
      </c>
      <c r="K55" s="20" t="s">
        <v>76</v>
      </c>
      <c r="L55" s="24" t="n">
        <v>0</v>
      </c>
      <c r="M55" s="25" t="s">
        <v>77</v>
      </c>
      <c r="N55" s="20" t="n">
        <v>626</v>
      </c>
    </row>
    <row r="56" customFormat="false" ht="15" hidden="false" customHeight="true" outlineLevel="0" collapsed="false">
      <c r="A56" s="26" t="s">
        <v>190</v>
      </c>
      <c r="B56" s="26" t="s">
        <v>191</v>
      </c>
      <c r="C56" s="27" t="s">
        <v>91</v>
      </c>
      <c r="D56" s="28" t="n">
        <v>1980000</v>
      </c>
      <c r="E56" s="28" t="n">
        <v>1815513.46</v>
      </c>
      <c r="F56" s="29" t="n">
        <v>0.2232</v>
      </c>
      <c r="G56" s="27" t="n">
        <v>120</v>
      </c>
      <c r="H56" s="28" t="n">
        <v>41358.24</v>
      </c>
      <c r="I56" s="30" t="n">
        <v>45305</v>
      </c>
      <c r="J56" s="30" t="n">
        <v>48905</v>
      </c>
      <c r="K56" s="27" t="s">
        <v>94</v>
      </c>
      <c r="L56" s="31" t="n">
        <v>0</v>
      </c>
      <c r="M56" s="25" t="s">
        <v>77</v>
      </c>
      <c r="N56" s="27" t="n">
        <v>748</v>
      </c>
    </row>
    <row r="57" customFormat="false" ht="15" hidden="false" customHeight="true" outlineLevel="0" collapsed="false">
      <c r="A57" s="19" t="s">
        <v>192</v>
      </c>
      <c r="B57" s="19" t="s">
        <v>193</v>
      </c>
      <c r="C57" s="20" t="s">
        <v>91</v>
      </c>
      <c r="D57" s="21" t="n">
        <v>1975000</v>
      </c>
      <c r="E57" s="21" t="n">
        <v>1102880.84</v>
      </c>
      <c r="F57" s="22" t="n">
        <v>0.1887</v>
      </c>
      <c r="G57" s="20" t="n">
        <v>120</v>
      </c>
      <c r="H57" s="21" t="n">
        <v>36700.14</v>
      </c>
      <c r="I57" s="23" t="n">
        <v>43777</v>
      </c>
      <c r="J57" s="23" t="n">
        <v>47377</v>
      </c>
      <c r="K57" s="20" t="s">
        <v>81</v>
      </c>
      <c r="L57" s="24" t="n">
        <v>0</v>
      </c>
      <c r="M57" s="34" t="s">
        <v>194</v>
      </c>
      <c r="N57" s="20" t="n">
        <v>656</v>
      </c>
    </row>
    <row r="58" customFormat="false" ht="15" hidden="false" customHeight="true" outlineLevel="0" collapsed="false">
      <c r="A58" s="26" t="s">
        <v>195</v>
      </c>
      <c r="B58" s="26" t="s">
        <v>196</v>
      </c>
      <c r="C58" s="27" t="s">
        <v>80</v>
      </c>
      <c r="D58" s="28" t="n">
        <v>2000000</v>
      </c>
      <c r="E58" s="28" t="n">
        <v>0.03</v>
      </c>
      <c r="F58" s="29" t="n">
        <v>0.1725</v>
      </c>
      <c r="G58" s="27" t="n">
        <v>12</v>
      </c>
      <c r="H58" s="28" t="n">
        <v>182646.87</v>
      </c>
      <c r="I58" s="30" t="n">
        <v>43444</v>
      </c>
      <c r="J58" s="30" t="n">
        <v>43804</v>
      </c>
      <c r="K58" s="27" t="s">
        <v>94</v>
      </c>
      <c r="L58" s="31" t="n">
        <v>0</v>
      </c>
      <c r="M58" s="25" t="s">
        <v>77</v>
      </c>
      <c r="N58" s="27" t="n">
        <v>761</v>
      </c>
    </row>
    <row r="59" customFormat="false" ht="15" hidden="false" customHeight="true" outlineLevel="0" collapsed="false">
      <c r="A59" s="19" t="s">
        <v>197</v>
      </c>
      <c r="B59" s="19" t="s">
        <v>198</v>
      </c>
      <c r="C59" s="20" t="s">
        <v>80</v>
      </c>
      <c r="D59" s="21" t="n">
        <v>1668000</v>
      </c>
      <c r="E59" s="21" t="n">
        <v>1172702.62</v>
      </c>
      <c r="F59" s="22" t="n">
        <v>0.203</v>
      </c>
      <c r="G59" s="20" t="n">
        <v>120</v>
      </c>
      <c r="H59" s="21" t="n">
        <v>32567.52</v>
      </c>
      <c r="I59" s="23" t="n">
        <v>44240</v>
      </c>
      <c r="J59" s="23" t="n">
        <v>47840</v>
      </c>
      <c r="K59" s="20" t="s">
        <v>81</v>
      </c>
      <c r="L59" s="24" t="n">
        <v>0</v>
      </c>
      <c r="M59" s="25" t="s">
        <v>77</v>
      </c>
      <c r="N59" s="20" t="n">
        <v>629</v>
      </c>
    </row>
    <row r="60" customFormat="false" ht="15" hidden="false" customHeight="true" outlineLevel="0" collapsed="false">
      <c r="A60" s="26" t="s">
        <v>199</v>
      </c>
      <c r="B60" s="26" t="s">
        <v>200</v>
      </c>
      <c r="C60" s="27" t="s">
        <v>84</v>
      </c>
      <c r="D60" s="28" t="n">
        <v>308000</v>
      </c>
      <c r="E60" s="28" t="n">
        <v>0</v>
      </c>
      <c r="F60" s="29" t="n">
        <v>0.2325</v>
      </c>
      <c r="G60" s="27" t="n">
        <v>48</v>
      </c>
      <c r="H60" s="28" t="n">
        <v>9914.09</v>
      </c>
      <c r="I60" s="30" t="n">
        <v>43382</v>
      </c>
      <c r="J60" s="30" t="n">
        <v>44822</v>
      </c>
      <c r="K60" s="27" t="s">
        <v>94</v>
      </c>
      <c r="L60" s="31" t="n">
        <v>0</v>
      </c>
      <c r="M60" s="25" t="s">
        <v>77</v>
      </c>
      <c r="N60" s="27" t="n">
        <v>707</v>
      </c>
    </row>
    <row r="61" customFormat="false" ht="15" hidden="false" customHeight="true" outlineLevel="0" collapsed="false">
      <c r="A61" s="19" t="s">
        <v>201</v>
      </c>
      <c r="B61" s="19" t="s">
        <v>202</v>
      </c>
      <c r="C61" s="20" t="s">
        <v>80</v>
      </c>
      <c r="D61" s="21" t="n">
        <v>675000</v>
      </c>
      <c r="E61" s="21" t="n">
        <v>185014.11</v>
      </c>
      <c r="F61" s="22" t="n">
        <v>0.1888</v>
      </c>
      <c r="G61" s="20" t="n">
        <v>48</v>
      </c>
      <c r="H61" s="21" t="n">
        <v>20139.86</v>
      </c>
      <c r="I61" s="23" t="n">
        <v>45005</v>
      </c>
      <c r="J61" s="23" t="n">
        <v>46445</v>
      </c>
      <c r="K61" s="20" t="s">
        <v>94</v>
      </c>
      <c r="L61" s="24" t="n">
        <v>0</v>
      </c>
      <c r="M61" s="25" t="s">
        <v>77</v>
      </c>
      <c r="N61" s="20" t="n">
        <v>715</v>
      </c>
    </row>
    <row r="62" customFormat="false" ht="15" hidden="false" customHeight="true" outlineLevel="0" collapsed="false">
      <c r="A62" s="26" t="s">
        <v>203</v>
      </c>
      <c r="B62" s="26" t="s">
        <v>204</v>
      </c>
      <c r="C62" s="27" t="s">
        <v>75</v>
      </c>
      <c r="D62" s="28" t="n">
        <v>3752000</v>
      </c>
      <c r="E62" s="28" t="n">
        <v>0</v>
      </c>
      <c r="F62" s="29" t="n">
        <v>0.1028</v>
      </c>
      <c r="G62" s="27" t="n">
        <v>36</v>
      </c>
      <c r="H62" s="28" t="n">
        <v>121560.32</v>
      </c>
      <c r="I62" s="30" t="n">
        <v>44375</v>
      </c>
      <c r="J62" s="30" t="n">
        <v>45455</v>
      </c>
      <c r="K62" s="27" t="s">
        <v>81</v>
      </c>
      <c r="L62" s="31" t="n">
        <v>0</v>
      </c>
      <c r="M62" s="33" t="s">
        <v>111</v>
      </c>
      <c r="N62" s="27" t="n">
        <v>675</v>
      </c>
    </row>
    <row r="63" customFormat="false" ht="15" hidden="false" customHeight="true" outlineLevel="0" collapsed="false">
      <c r="A63" s="19" t="s">
        <v>205</v>
      </c>
      <c r="B63" s="19" t="s">
        <v>206</v>
      </c>
      <c r="C63" s="20" t="s">
        <v>75</v>
      </c>
      <c r="D63" s="21" t="n">
        <v>3589000</v>
      </c>
      <c r="E63" s="21" t="n">
        <v>0.21</v>
      </c>
      <c r="F63" s="22" t="n">
        <v>0.0968</v>
      </c>
      <c r="G63" s="20" t="n">
        <v>48</v>
      </c>
      <c r="H63" s="21" t="n">
        <v>90475.75</v>
      </c>
      <c r="I63" s="23" t="n">
        <v>43518</v>
      </c>
      <c r="J63" s="23" t="n">
        <v>44958</v>
      </c>
      <c r="K63" s="20" t="s">
        <v>94</v>
      </c>
      <c r="L63" s="24" t="n">
        <v>0</v>
      </c>
      <c r="M63" s="25" t="s">
        <v>77</v>
      </c>
      <c r="N63" s="20" t="n">
        <v>747</v>
      </c>
    </row>
    <row r="64" customFormat="false" ht="15" hidden="false" customHeight="true" outlineLevel="0" collapsed="false">
      <c r="A64" s="26" t="s">
        <v>207</v>
      </c>
      <c r="B64" s="26" t="s">
        <v>208</v>
      </c>
      <c r="C64" s="27" t="s">
        <v>84</v>
      </c>
      <c r="D64" s="28" t="n">
        <v>3991000</v>
      </c>
      <c r="E64" s="28" t="n">
        <v>0.02</v>
      </c>
      <c r="F64" s="29" t="n">
        <v>0.1727</v>
      </c>
      <c r="G64" s="27" t="n">
        <v>12</v>
      </c>
      <c r="H64" s="28" t="n">
        <v>364509.74</v>
      </c>
      <c r="I64" s="30" t="n">
        <v>44523</v>
      </c>
      <c r="J64" s="30" t="n">
        <v>44883</v>
      </c>
      <c r="K64" s="27" t="s">
        <v>76</v>
      </c>
      <c r="L64" s="31" t="n">
        <v>0</v>
      </c>
      <c r="M64" s="25" t="s">
        <v>77</v>
      </c>
      <c r="N64" s="27" t="n">
        <v>649</v>
      </c>
    </row>
    <row r="65" customFormat="false" ht="15" hidden="false" customHeight="true" outlineLevel="0" collapsed="false">
      <c r="A65" s="19" t="s">
        <v>209</v>
      </c>
      <c r="B65" s="19" t="s">
        <v>210</v>
      </c>
      <c r="C65" s="20" t="s">
        <v>75</v>
      </c>
      <c r="D65" s="21" t="n">
        <v>2476000</v>
      </c>
      <c r="E65" s="21" t="n">
        <v>1641078.59</v>
      </c>
      <c r="F65" s="22" t="n">
        <v>0.1522</v>
      </c>
      <c r="G65" s="20" t="n">
        <v>84</v>
      </c>
      <c r="H65" s="21" t="n">
        <v>48084.89</v>
      </c>
      <c r="I65" s="23" t="n">
        <v>44984</v>
      </c>
      <c r="J65" s="23" t="n">
        <v>47504</v>
      </c>
      <c r="K65" s="20" t="s">
        <v>94</v>
      </c>
      <c r="L65" s="24" t="n">
        <v>0</v>
      </c>
      <c r="M65" s="25" t="s">
        <v>77</v>
      </c>
      <c r="N65" s="20" t="n">
        <v>753</v>
      </c>
    </row>
    <row r="66" customFormat="false" ht="15" hidden="false" customHeight="true" outlineLevel="0" collapsed="false">
      <c r="A66" s="26" t="s">
        <v>211</v>
      </c>
      <c r="B66" s="26" t="s">
        <v>212</v>
      </c>
      <c r="C66" s="27" t="s">
        <v>99</v>
      </c>
      <c r="D66" s="28" t="n">
        <v>1387000</v>
      </c>
      <c r="E66" s="28" t="n">
        <v>1368073.34</v>
      </c>
      <c r="F66" s="29" t="n">
        <v>0.2103</v>
      </c>
      <c r="G66" s="27" t="n">
        <v>240</v>
      </c>
      <c r="H66" s="28" t="n">
        <v>24688.84</v>
      </c>
      <c r="I66" s="30" t="n">
        <v>45081</v>
      </c>
      <c r="J66" s="30" t="n">
        <v>52281</v>
      </c>
      <c r="K66" s="27" t="s">
        <v>81</v>
      </c>
      <c r="L66" s="31" t="n">
        <v>0</v>
      </c>
      <c r="M66" s="25" t="s">
        <v>77</v>
      </c>
      <c r="N66" s="27" t="n">
        <v>676</v>
      </c>
    </row>
    <row r="67" customFormat="false" ht="15" hidden="false" customHeight="true" outlineLevel="0" collapsed="false">
      <c r="A67" s="19" t="s">
        <v>213</v>
      </c>
      <c r="B67" s="19" t="s">
        <v>214</v>
      </c>
      <c r="C67" s="20" t="s">
        <v>91</v>
      </c>
      <c r="D67" s="21" t="n">
        <v>1431000</v>
      </c>
      <c r="E67" s="21" t="n">
        <v>1374071.69</v>
      </c>
      <c r="F67" s="22" t="n">
        <v>0.1549</v>
      </c>
      <c r="G67" s="20" t="n">
        <v>180</v>
      </c>
      <c r="H67" s="21" t="n">
        <v>20510.51</v>
      </c>
      <c r="I67" s="23" t="n">
        <v>45435</v>
      </c>
      <c r="J67" s="23" t="n">
        <v>50835</v>
      </c>
      <c r="K67" s="20" t="s">
        <v>76</v>
      </c>
      <c r="L67" s="24" t="n">
        <v>0</v>
      </c>
      <c r="M67" s="25" t="s">
        <v>77</v>
      </c>
      <c r="N67" s="20" t="n">
        <v>675</v>
      </c>
    </row>
    <row r="68" customFormat="false" ht="15" hidden="false" customHeight="true" outlineLevel="0" collapsed="false">
      <c r="A68" s="26" t="s">
        <v>215</v>
      </c>
      <c r="B68" s="26" t="s">
        <v>216</v>
      </c>
      <c r="C68" s="27" t="s">
        <v>99</v>
      </c>
      <c r="D68" s="28" t="n">
        <v>950000</v>
      </c>
      <c r="E68" s="28" t="n">
        <v>102127.89</v>
      </c>
      <c r="F68" s="29" t="n">
        <v>0.1179</v>
      </c>
      <c r="G68" s="27" t="n">
        <v>60</v>
      </c>
      <c r="H68" s="28" t="n">
        <v>21031.55</v>
      </c>
      <c r="I68" s="30" t="n">
        <v>44495</v>
      </c>
      <c r="J68" s="30" t="n">
        <v>46295</v>
      </c>
      <c r="K68" s="27" t="s">
        <v>81</v>
      </c>
      <c r="L68" s="31" t="n">
        <v>0</v>
      </c>
      <c r="M68" s="25" t="s">
        <v>77</v>
      </c>
      <c r="N68" s="27" t="n">
        <v>850</v>
      </c>
    </row>
    <row r="69" customFormat="false" ht="15" hidden="false" customHeight="true" outlineLevel="0" collapsed="false">
      <c r="A69" s="19" t="s">
        <v>217</v>
      </c>
      <c r="B69" s="19" t="s">
        <v>218</v>
      </c>
      <c r="C69" s="20" t="s">
        <v>75</v>
      </c>
      <c r="D69" s="21" t="n">
        <v>1245000</v>
      </c>
      <c r="E69" s="21" t="n">
        <v>1152772.76</v>
      </c>
      <c r="F69" s="22" t="n">
        <v>0.148</v>
      </c>
      <c r="G69" s="20" t="n">
        <v>240</v>
      </c>
      <c r="H69" s="21" t="n">
        <v>16210.35</v>
      </c>
      <c r="I69" s="23" t="n">
        <v>44085</v>
      </c>
      <c r="J69" s="23" t="n">
        <v>51285</v>
      </c>
      <c r="K69" s="20" t="s">
        <v>94</v>
      </c>
      <c r="L69" s="24" t="n">
        <v>0</v>
      </c>
      <c r="M69" s="25" t="s">
        <v>77</v>
      </c>
      <c r="N69" s="20" t="n">
        <v>618</v>
      </c>
    </row>
    <row r="70" customFormat="false" ht="15" hidden="false" customHeight="true" outlineLevel="0" collapsed="false">
      <c r="A70" s="26" t="s">
        <v>219</v>
      </c>
      <c r="B70" s="26" t="s">
        <v>220</v>
      </c>
      <c r="C70" s="27" t="s">
        <v>84</v>
      </c>
      <c r="D70" s="28" t="n">
        <v>511000</v>
      </c>
      <c r="E70" s="28" t="n">
        <v>0.24</v>
      </c>
      <c r="F70" s="29" t="n">
        <v>0.1193</v>
      </c>
      <c r="G70" s="27" t="n">
        <v>48</v>
      </c>
      <c r="H70" s="28" t="n">
        <v>13439.03</v>
      </c>
      <c r="I70" s="30" t="n">
        <v>44355</v>
      </c>
      <c r="J70" s="30" t="n">
        <v>45795</v>
      </c>
      <c r="K70" s="27" t="s">
        <v>94</v>
      </c>
      <c r="L70" s="31" t="n">
        <v>0</v>
      </c>
      <c r="M70" s="25" t="s">
        <v>77</v>
      </c>
      <c r="N70" s="27" t="n">
        <v>664</v>
      </c>
    </row>
    <row r="71" customFormat="false" ht="15" hidden="false" customHeight="true" outlineLevel="0" collapsed="false">
      <c r="A71" s="19" t="s">
        <v>221</v>
      </c>
      <c r="B71" s="19" t="s">
        <v>222</v>
      </c>
      <c r="C71" s="20" t="s">
        <v>91</v>
      </c>
      <c r="D71" s="21" t="n">
        <v>1791000</v>
      </c>
      <c r="E71" s="21" t="n">
        <v>0</v>
      </c>
      <c r="F71" s="22" t="n">
        <v>0.1553</v>
      </c>
      <c r="G71" s="20" t="n">
        <v>60</v>
      </c>
      <c r="H71" s="21" t="n">
        <v>43107.65</v>
      </c>
      <c r="I71" s="23" t="n">
        <v>44130</v>
      </c>
      <c r="J71" s="23" t="n">
        <v>45930</v>
      </c>
      <c r="K71" s="20" t="s">
        <v>81</v>
      </c>
      <c r="L71" s="24" t="n">
        <v>0</v>
      </c>
      <c r="M71" s="25" t="s">
        <v>77</v>
      </c>
      <c r="N71" s="20" t="n">
        <v>771</v>
      </c>
    </row>
    <row r="72" customFormat="false" ht="15" hidden="false" customHeight="true" outlineLevel="0" collapsed="false">
      <c r="A72" s="26" t="s">
        <v>223</v>
      </c>
      <c r="B72" s="26" t="s">
        <v>224</v>
      </c>
      <c r="C72" s="27" t="s">
        <v>84</v>
      </c>
      <c r="D72" s="28" t="n">
        <v>4757000</v>
      </c>
      <c r="E72" s="28" t="n">
        <v>0.11</v>
      </c>
      <c r="F72" s="29" t="n">
        <v>0.192</v>
      </c>
      <c r="G72" s="27" t="n">
        <v>48</v>
      </c>
      <c r="H72" s="28" t="n">
        <v>142737.39</v>
      </c>
      <c r="I72" s="30" t="n">
        <v>43987</v>
      </c>
      <c r="J72" s="30" t="n">
        <v>45427</v>
      </c>
      <c r="K72" s="27" t="s">
        <v>94</v>
      </c>
      <c r="L72" s="31" t="n">
        <v>0</v>
      </c>
      <c r="M72" s="25" t="s">
        <v>77</v>
      </c>
      <c r="N72" s="27" t="n">
        <v>667</v>
      </c>
    </row>
    <row r="73" customFormat="false" ht="15" hidden="false" customHeight="true" outlineLevel="0" collapsed="false">
      <c r="A73" s="19" t="s">
        <v>225</v>
      </c>
      <c r="B73" s="19" t="s">
        <v>226</v>
      </c>
      <c r="C73" s="20" t="s">
        <v>91</v>
      </c>
      <c r="D73" s="21" t="n">
        <v>1011000</v>
      </c>
      <c r="E73" s="21" t="n">
        <v>0</v>
      </c>
      <c r="F73" s="22" t="n">
        <v>0.1203</v>
      </c>
      <c r="G73" s="20" t="n">
        <v>36</v>
      </c>
      <c r="H73" s="21" t="n">
        <v>33594.16</v>
      </c>
      <c r="I73" s="23" t="n">
        <v>44339</v>
      </c>
      <c r="J73" s="23" t="n">
        <v>45419</v>
      </c>
      <c r="K73" s="20" t="s">
        <v>81</v>
      </c>
      <c r="L73" s="24" t="n">
        <v>0</v>
      </c>
      <c r="M73" s="25" t="s">
        <v>77</v>
      </c>
      <c r="N73" s="20" t="n">
        <v>662</v>
      </c>
    </row>
    <row r="74" customFormat="false" ht="15" hidden="false" customHeight="true" outlineLevel="0" collapsed="false">
      <c r="A74" s="26" t="s">
        <v>227</v>
      </c>
      <c r="B74" s="26" t="s">
        <v>228</v>
      </c>
      <c r="C74" s="27" t="s">
        <v>99</v>
      </c>
      <c r="D74" s="28" t="n">
        <v>2789000</v>
      </c>
      <c r="E74" s="28" t="n">
        <v>101045.38</v>
      </c>
      <c r="F74" s="29" t="n">
        <v>0.1931</v>
      </c>
      <c r="G74" s="27" t="n">
        <v>36</v>
      </c>
      <c r="H74" s="28" t="n">
        <v>102671.3</v>
      </c>
      <c r="I74" s="30" t="n">
        <v>45111</v>
      </c>
      <c r="J74" s="30" t="n">
        <v>46191</v>
      </c>
      <c r="K74" s="27" t="s">
        <v>81</v>
      </c>
      <c r="L74" s="31" t="n">
        <v>0</v>
      </c>
      <c r="M74" s="25" t="s">
        <v>77</v>
      </c>
      <c r="N74" s="27" t="n">
        <v>706</v>
      </c>
    </row>
    <row r="75" customFormat="false" ht="15" hidden="false" customHeight="true" outlineLevel="0" collapsed="false">
      <c r="A75" s="19" t="s">
        <v>229</v>
      </c>
      <c r="B75" s="19" t="s">
        <v>230</v>
      </c>
      <c r="C75" s="20" t="s">
        <v>91</v>
      </c>
      <c r="D75" s="21" t="n">
        <v>1300000</v>
      </c>
      <c r="E75" s="21" t="n">
        <v>0</v>
      </c>
      <c r="F75" s="22" t="n">
        <v>0.2186</v>
      </c>
      <c r="G75" s="20" t="n">
        <v>24</v>
      </c>
      <c r="H75" s="21" t="n">
        <v>67351.76</v>
      </c>
      <c r="I75" s="23" t="n">
        <v>43368</v>
      </c>
      <c r="J75" s="23" t="n">
        <v>44088</v>
      </c>
      <c r="K75" s="20" t="s">
        <v>81</v>
      </c>
      <c r="L75" s="24" t="n">
        <v>0</v>
      </c>
      <c r="M75" s="25" t="s">
        <v>77</v>
      </c>
      <c r="N75" s="20" t="n">
        <v>557</v>
      </c>
    </row>
    <row r="76" customFormat="false" ht="15" hidden="false" customHeight="true" outlineLevel="0" collapsed="false">
      <c r="A76" s="26" t="s">
        <v>231</v>
      </c>
      <c r="B76" s="26" t="s">
        <v>232</v>
      </c>
      <c r="C76" s="27" t="s">
        <v>80</v>
      </c>
      <c r="D76" s="28" t="n">
        <v>789000</v>
      </c>
      <c r="E76" s="28" t="n">
        <v>0</v>
      </c>
      <c r="F76" s="29" t="n">
        <v>0.1722</v>
      </c>
      <c r="G76" s="27" t="n">
        <v>60</v>
      </c>
      <c r="H76" s="28" t="n">
        <v>19702.14</v>
      </c>
      <c r="I76" s="30" t="n">
        <v>43449</v>
      </c>
      <c r="J76" s="30" t="n">
        <v>45249</v>
      </c>
      <c r="K76" s="27" t="s">
        <v>81</v>
      </c>
      <c r="L76" s="31" t="n">
        <v>0</v>
      </c>
      <c r="M76" s="25" t="s">
        <v>77</v>
      </c>
      <c r="N76" s="27" t="n">
        <v>844</v>
      </c>
    </row>
    <row r="77" customFormat="false" ht="15" hidden="false" customHeight="true" outlineLevel="0" collapsed="false">
      <c r="A77" s="19" t="s">
        <v>233</v>
      </c>
      <c r="B77" s="19" t="s">
        <v>234</v>
      </c>
      <c r="C77" s="20" t="s">
        <v>75</v>
      </c>
      <c r="D77" s="21" t="n">
        <v>1933000</v>
      </c>
      <c r="E77" s="21" t="n">
        <v>779835.39</v>
      </c>
      <c r="F77" s="22" t="n">
        <v>0.2258</v>
      </c>
      <c r="G77" s="20" t="n">
        <v>60</v>
      </c>
      <c r="H77" s="21" t="n">
        <v>54026.75</v>
      </c>
      <c r="I77" s="23" t="n">
        <v>44857</v>
      </c>
      <c r="J77" s="23" t="n">
        <v>46657</v>
      </c>
      <c r="K77" s="20" t="s">
        <v>81</v>
      </c>
      <c r="L77" s="24" t="n">
        <v>0</v>
      </c>
      <c r="M77" s="25" t="s">
        <v>77</v>
      </c>
      <c r="N77" s="20" t="n">
        <v>568</v>
      </c>
    </row>
    <row r="78" customFormat="false" ht="15" hidden="false" customHeight="true" outlineLevel="0" collapsed="false">
      <c r="A78" s="26" t="s">
        <v>235</v>
      </c>
      <c r="B78" s="26" t="s">
        <v>236</v>
      </c>
      <c r="C78" s="27" t="s">
        <v>80</v>
      </c>
      <c r="D78" s="28" t="n">
        <v>3826000</v>
      </c>
      <c r="E78" s="28" t="n">
        <v>0.03</v>
      </c>
      <c r="F78" s="29" t="n">
        <v>0.182</v>
      </c>
      <c r="G78" s="27" t="n">
        <v>60</v>
      </c>
      <c r="H78" s="28" t="n">
        <v>97572</v>
      </c>
      <c r="I78" s="30" t="n">
        <v>43433</v>
      </c>
      <c r="J78" s="30" t="n">
        <v>45233</v>
      </c>
      <c r="K78" s="27" t="s">
        <v>81</v>
      </c>
      <c r="L78" s="31" t="n">
        <v>0</v>
      </c>
      <c r="M78" s="25" t="s">
        <v>77</v>
      </c>
      <c r="N78" s="27" t="n">
        <v>576</v>
      </c>
    </row>
    <row r="79" customFormat="false" ht="15" hidden="false" customHeight="true" outlineLevel="0" collapsed="false">
      <c r="A79" s="19" t="s">
        <v>237</v>
      </c>
      <c r="B79" s="19" t="s">
        <v>238</v>
      </c>
      <c r="C79" s="20" t="s">
        <v>80</v>
      </c>
      <c r="D79" s="21" t="n">
        <v>1492000</v>
      </c>
      <c r="E79" s="21" t="n">
        <v>599681.1</v>
      </c>
      <c r="F79" s="22" t="n">
        <v>0.1209</v>
      </c>
      <c r="G79" s="20" t="n">
        <v>60</v>
      </c>
      <c r="H79" s="21" t="n">
        <v>33256.61</v>
      </c>
      <c r="I79" s="23" t="n">
        <v>44960</v>
      </c>
      <c r="J79" s="23" t="n">
        <v>46760</v>
      </c>
      <c r="K79" s="20" t="s">
        <v>81</v>
      </c>
      <c r="L79" s="24" t="n">
        <v>0</v>
      </c>
      <c r="M79" s="33" t="s">
        <v>111</v>
      </c>
      <c r="N79" s="20" t="n">
        <v>567</v>
      </c>
    </row>
    <row r="80" customFormat="false" ht="15" hidden="false" customHeight="true" outlineLevel="0" collapsed="false">
      <c r="A80" s="26" t="s">
        <v>239</v>
      </c>
      <c r="B80" s="26" t="s">
        <v>240</v>
      </c>
      <c r="C80" s="27" t="s">
        <v>75</v>
      </c>
      <c r="D80" s="28" t="n">
        <v>4029000</v>
      </c>
      <c r="E80" s="28" t="n">
        <v>0</v>
      </c>
      <c r="F80" s="29" t="n">
        <v>0.1157</v>
      </c>
      <c r="G80" s="27" t="n">
        <v>24</v>
      </c>
      <c r="H80" s="28" t="n">
        <v>188850.98</v>
      </c>
      <c r="I80" s="30" t="n">
        <v>45331</v>
      </c>
      <c r="J80" s="30" t="n">
        <v>46051</v>
      </c>
      <c r="K80" s="27" t="s">
        <v>81</v>
      </c>
      <c r="L80" s="31" t="n">
        <v>0</v>
      </c>
      <c r="M80" s="25" t="s">
        <v>77</v>
      </c>
      <c r="N80" s="27" t="n">
        <v>702</v>
      </c>
    </row>
    <row r="81" customFormat="false" ht="15" hidden="false" customHeight="true" outlineLevel="0" collapsed="false">
      <c r="A81" s="19" t="s">
        <v>241</v>
      </c>
      <c r="B81" s="19" t="s">
        <v>242</v>
      </c>
      <c r="C81" s="20" t="s">
        <v>80</v>
      </c>
      <c r="D81" s="21" t="n">
        <v>3757000</v>
      </c>
      <c r="E81" s="21" t="n">
        <v>1481028.51</v>
      </c>
      <c r="F81" s="22" t="n">
        <v>0.1732</v>
      </c>
      <c r="G81" s="20" t="n">
        <v>60</v>
      </c>
      <c r="H81" s="21" t="n">
        <v>94018.78</v>
      </c>
      <c r="I81" s="23" t="n">
        <v>44899</v>
      </c>
      <c r="J81" s="23" t="n">
        <v>46699</v>
      </c>
      <c r="K81" s="20" t="s">
        <v>81</v>
      </c>
      <c r="L81" s="24" t="n">
        <v>0</v>
      </c>
      <c r="M81" s="25" t="s">
        <v>77</v>
      </c>
      <c r="N81" s="20" t="n">
        <v>704</v>
      </c>
    </row>
    <row r="82" customFormat="false" ht="15" hidden="false" customHeight="true" outlineLevel="0" collapsed="false">
      <c r="A82" s="26" t="s">
        <v>243</v>
      </c>
      <c r="B82" s="26" t="s">
        <v>244</v>
      </c>
      <c r="C82" s="27" t="s">
        <v>99</v>
      </c>
      <c r="D82" s="28" t="n">
        <v>2527000</v>
      </c>
      <c r="E82" s="28" t="n">
        <v>0.01</v>
      </c>
      <c r="F82" s="29" t="n">
        <v>0.1615</v>
      </c>
      <c r="G82" s="27" t="n">
        <v>24</v>
      </c>
      <c r="H82" s="28" t="n">
        <v>123910.97</v>
      </c>
      <c r="I82" s="30" t="n">
        <v>43264</v>
      </c>
      <c r="J82" s="30" t="n">
        <v>43984</v>
      </c>
      <c r="K82" s="27" t="s">
        <v>81</v>
      </c>
      <c r="L82" s="31" t="n">
        <v>0</v>
      </c>
      <c r="M82" s="25" t="s">
        <v>77</v>
      </c>
      <c r="N82" s="27" t="n">
        <v>729</v>
      </c>
    </row>
    <row r="83" customFormat="false" ht="15" hidden="false" customHeight="true" outlineLevel="0" collapsed="false">
      <c r="A83" s="19" t="s">
        <v>245</v>
      </c>
      <c r="B83" s="19" t="s">
        <v>246</v>
      </c>
      <c r="C83" s="20" t="s">
        <v>80</v>
      </c>
      <c r="D83" s="21" t="n">
        <v>2897000</v>
      </c>
      <c r="E83" s="21" t="n">
        <v>2153606.05</v>
      </c>
      <c r="F83" s="22" t="n">
        <v>0.2324</v>
      </c>
      <c r="G83" s="20" t="n">
        <v>60</v>
      </c>
      <c r="H83" s="21" t="n">
        <v>82067.75</v>
      </c>
      <c r="I83" s="23" t="n">
        <v>45461</v>
      </c>
      <c r="J83" s="23" t="n">
        <v>47261</v>
      </c>
      <c r="K83" s="20" t="s">
        <v>81</v>
      </c>
      <c r="L83" s="24" t="n">
        <v>0</v>
      </c>
      <c r="M83" s="25" t="s">
        <v>77</v>
      </c>
      <c r="N83" s="20" t="n">
        <v>817</v>
      </c>
    </row>
    <row r="84" customFormat="false" ht="15" hidden="false" customHeight="true" outlineLevel="0" collapsed="false">
      <c r="A84" s="26" t="s">
        <v>247</v>
      </c>
      <c r="B84" s="26" t="s">
        <v>248</v>
      </c>
      <c r="C84" s="27" t="s">
        <v>75</v>
      </c>
      <c r="D84" s="28" t="n">
        <v>4585000</v>
      </c>
      <c r="E84" s="28" t="n">
        <v>3757823.11</v>
      </c>
      <c r="F84" s="29" t="n">
        <v>0.1131</v>
      </c>
      <c r="G84" s="27" t="n">
        <v>120</v>
      </c>
      <c r="H84" s="28" t="n">
        <v>63965.62</v>
      </c>
      <c r="I84" s="30" t="n">
        <v>45115</v>
      </c>
      <c r="J84" s="30" t="n">
        <v>48715</v>
      </c>
      <c r="K84" s="27" t="s">
        <v>81</v>
      </c>
      <c r="L84" s="31" t="n">
        <v>0</v>
      </c>
      <c r="M84" s="25" t="s">
        <v>77</v>
      </c>
      <c r="N84" s="27" t="n">
        <v>633</v>
      </c>
    </row>
    <row r="85" customFormat="false" ht="15" hidden="false" customHeight="true" outlineLevel="0" collapsed="false">
      <c r="A85" s="19" t="s">
        <v>249</v>
      </c>
      <c r="B85" s="19" t="s">
        <v>250</v>
      </c>
      <c r="C85" s="20" t="s">
        <v>75</v>
      </c>
      <c r="D85" s="21" t="n">
        <v>3484000</v>
      </c>
      <c r="E85" s="21" t="n">
        <v>3057282.06</v>
      </c>
      <c r="F85" s="22" t="n">
        <v>0.1297</v>
      </c>
      <c r="G85" s="20" t="n">
        <v>120</v>
      </c>
      <c r="H85" s="21" t="n">
        <v>51958.23</v>
      </c>
      <c r="I85" s="23" t="n">
        <v>45354</v>
      </c>
      <c r="J85" s="23" t="n">
        <v>48954</v>
      </c>
      <c r="K85" s="20" t="s">
        <v>81</v>
      </c>
      <c r="L85" s="24" t="n">
        <v>0</v>
      </c>
      <c r="M85" s="25" t="s">
        <v>77</v>
      </c>
      <c r="N85" s="20" t="n">
        <v>714</v>
      </c>
    </row>
    <row r="86" customFormat="false" ht="15" hidden="false" customHeight="true" outlineLevel="0" collapsed="false">
      <c r="A86" s="26" t="s">
        <v>251</v>
      </c>
      <c r="B86" s="26" t="s">
        <v>252</v>
      </c>
      <c r="C86" s="27" t="s">
        <v>80</v>
      </c>
      <c r="D86" s="28" t="n">
        <v>3874000</v>
      </c>
      <c r="E86" s="28" t="n">
        <v>0</v>
      </c>
      <c r="F86" s="29" t="n">
        <v>0.2191</v>
      </c>
      <c r="G86" s="27" t="n">
        <v>12</v>
      </c>
      <c r="H86" s="28" t="n">
        <v>362416.85</v>
      </c>
      <c r="I86" s="30" t="n">
        <v>45323</v>
      </c>
      <c r="J86" s="30" t="n">
        <v>45683</v>
      </c>
      <c r="K86" s="27" t="s">
        <v>81</v>
      </c>
      <c r="L86" s="31" t="n">
        <v>0</v>
      </c>
      <c r="M86" s="25" t="s">
        <v>77</v>
      </c>
      <c r="N86" s="27" t="n">
        <v>614</v>
      </c>
    </row>
    <row r="87" customFormat="false" ht="15" hidden="false" customHeight="true" outlineLevel="0" collapsed="false">
      <c r="A87" s="19" t="s">
        <v>253</v>
      </c>
      <c r="B87" s="19" t="s">
        <v>254</v>
      </c>
      <c r="C87" s="20" t="s">
        <v>75</v>
      </c>
      <c r="D87" s="21" t="n">
        <v>305000</v>
      </c>
      <c r="E87" s="21" t="n">
        <v>0</v>
      </c>
      <c r="F87" s="22" t="n">
        <v>0.1264</v>
      </c>
      <c r="G87" s="20" t="n">
        <v>36</v>
      </c>
      <c r="H87" s="21" t="n">
        <v>10223.85</v>
      </c>
      <c r="I87" s="23" t="n">
        <v>44280</v>
      </c>
      <c r="J87" s="23" t="n">
        <v>45360</v>
      </c>
      <c r="K87" s="20" t="s">
        <v>81</v>
      </c>
      <c r="L87" s="24" t="n">
        <v>0</v>
      </c>
      <c r="M87" s="25" t="s">
        <v>77</v>
      </c>
      <c r="N87" s="20" t="n">
        <v>583</v>
      </c>
    </row>
    <row r="88" customFormat="false" ht="15" hidden="false" customHeight="true" outlineLevel="0" collapsed="false">
      <c r="A88" s="26" t="s">
        <v>255</v>
      </c>
      <c r="B88" s="26" t="s">
        <v>256</v>
      </c>
      <c r="C88" s="27" t="s">
        <v>99</v>
      </c>
      <c r="D88" s="28" t="n">
        <v>3064000</v>
      </c>
      <c r="E88" s="28" t="n">
        <v>0</v>
      </c>
      <c r="F88" s="29" t="n">
        <v>0.1221</v>
      </c>
      <c r="G88" s="27" t="n">
        <v>36</v>
      </c>
      <c r="H88" s="28" t="n">
        <v>102076.24</v>
      </c>
      <c r="I88" s="30" t="n">
        <v>44373</v>
      </c>
      <c r="J88" s="30" t="n">
        <v>45453</v>
      </c>
      <c r="K88" s="27" t="s">
        <v>76</v>
      </c>
      <c r="L88" s="31" t="n">
        <v>0</v>
      </c>
      <c r="M88" s="25" t="s">
        <v>77</v>
      </c>
      <c r="N88" s="27" t="n">
        <v>670</v>
      </c>
    </row>
    <row r="89" customFormat="false" ht="15" hidden="false" customHeight="true" outlineLevel="0" collapsed="false">
      <c r="A89" s="19" t="s">
        <v>257</v>
      </c>
      <c r="B89" s="19" t="s">
        <v>258</v>
      </c>
      <c r="C89" s="20" t="s">
        <v>99</v>
      </c>
      <c r="D89" s="21" t="n">
        <v>631000</v>
      </c>
      <c r="E89" s="21" t="n">
        <v>576559.97</v>
      </c>
      <c r="F89" s="22" t="n">
        <v>0.214</v>
      </c>
      <c r="G89" s="20" t="n">
        <v>180</v>
      </c>
      <c r="H89" s="21" t="n">
        <v>11740.22</v>
      </c>
      <c r="I89" s="23" t="n">
        <v>44296</v>
      </c>
      <c r="J89" s="23" t="n">
        <v>49696</v>
      </c>
      <c r="K89" s="20" t="s">
        <v>76</v>
      </c>
      <c r="L89" s="24" t="n">
        <v>0</v>
      </c>
      <c r="M89" s="25" t="s">
        <v>77</v>
      </c>
      <c r="N89" s="20" t="n">
        <v>746</v>
      </c>
    </row>
    <row r="90" customFormat="false" ht="15" hidden="false" customHeight="true" outlineLevel="0" collapsed="false">
      <c r="A90" s="26" t="s">
        <v>259</v>
      </c>
      <c r="B90" s="26" t="s">
        <v>260</v>
      </c>
      <c r="C90" s="27" t="s">
        <v>99</v>
      </c>
      <c r="D90" s="28" t="n">
        <v>1256000</v>
      </c>
      <c r="E90" s="28" t="n">
        <v>711668.08</v>
      </c>
      <c r="F90" s="29" t="n">
        <v>0.1704</v>
      </c>
      <c r="G90" s="27" t="n">
        <v>120</v>
      </c>
      <c r="H90" s="28" t="n">
        <v>21860.83</v>
      </c>
      <c r="I90" s="30" t="n">
        <v>43881</v>
      </c>
      <c r="J90" s="30" t="n">
        <v>47481</v>
      </c>
      <c r="K90" s="27" t="s">
        <v>76</v>
      </c>
      <c r="L90" s="31" t="n">
        <v>0</v>
      </c>
      <c r="M90" s="25" t="s">
        <v>77</v>
      </c>
      <c r="N90" s="27" t="n">
        <v>623</v>
      </c>
    </row>
    <row r="91" customFormat="false" ht="15" hidden="false" customHeight="true" outlineLevel="0" collapsed="false">
      <c r="A91" s="19" t="s">
        <v>261</v>
      </c>
      <c r="B91" s="19" t="s">
        <v>262</v>
      </c>
      <c r="C91" s="20" t="s">
        <v>91</v>
      </c>
      <c r="D91" s="21" t="n">
        <v>4675000</v>
      </c>
      <c r="E91" s="21" t="n">
        <v>0.06</v>
      </c>
      <c r="F91" s="22" t="n">
        <v>0.1637</v>
      </c>
      <c r="G91" s="20" t="n">
        <v>12</v>
      </c>
      <c r="H91" s="21" t="n">
        <v>424985.74</v>
      </c>
      <c r="I91" s="23" t="n">
        <v>44259</v>
      </c>
      <c r="J91" s="23" t="n">
        <v>44619</v>
      </c>
      <c r="K91" s="20" t="s">
        <v>94</v>
      </c>
      <c r="L91" s="24" t="n">
        <v>0</v>
      </c>
      <c r="M91" s="25" t="s">
        <v>77</v>
      </c>
      <c r="N91" s="20" t="n">
        <v>690</v>
      </c>
    </row>
    <row r="92" customFormat="false" ht="15" hidden="false" customHeight="true" outlineLevel="0" collapsed="false">
      <c r="A92" s="26" t="s">
        <v>263</v>
      </c>
      <c r="B92" s="26" t="s">
        <v>264</v>
      </c>
      <c r="C92" s="27" t="s">
        <v>91</v>
      </c>
      <c r="D92" s="28" t="n">
        <v>786000</v>
      </c>
      <c r="E92" s="28" t="n">
        <v>368188.76</v>
      </c>
      <c r="F92" s="29" t="n">
        <v>0.1685</v>
      </c>
      <c r="G92" s="27" t="n">
        <v>84</v>
      </c>
      <c r="H92" s="28" t="n">
        <v>15994.48</v>
      </c>
      <c r="I92" s="30" t="n">
        <v>44462</v>
      </c>
      <c r="J92" s="30" t="n">
        <v>46982</v>
      </c>
      <c r="K92" s="27" t="s">
        <v>76</v>
      </c>
      <c r="L92" s="31" t="n">
        <v>0</v>
      </c>
      <c r="M92" s="25" t="s">
        <v>77</v>
      </c>
      <c r="N92" s="27" t="n">
        <v>589</v>
      </c>
    </row>
    <row r="93" customFormat="false" ht="15" hidden="false" customHeight="true" outlineLevel="0" collapsed="false">
      <c r="A93" s="19" t="s">
        <v>265</v>
      </c>
      <c r="B93" s="19" t="s">
        <v>266</v>
      </c>
      <c r="C93" s="20" t="s">
        <v>99</v>
      </c>
      <c r="D93" s="21" t="n">
        <v>1946000</v>
      </c>
      <c r="E93" s="21" t="n">
        <v>771162.74</v>
      </c>
      <c r="F93" s="22" t="n">
        <v>0.2177</v>
      </c>
      <c r="G93" s="20" t="n">
        <v>120</v>
      </c>
      <c r="H93" s="21" t="n">
        <v>39918.91</v>
      </c>
      <c r="I93" s="23" t="n">
        <v>43279</v>
      </c>
      <c r="J93" s="23" t="n">
        <v>46879</v>
      </c>
      <c r="K93" s="20" t="s">
        <v>81</v>
      </c>
      <c r="L93" s="24" t="n">
        <v>0</v>
      </c>
      <c r="M93" s="25" t="s">
        <v>77</v>
      </c>
      <c r="N93" s="20" t="n">
        <v>728</v>
      </c>
    </row>
    <row r="94" customFormat="false" ht="15" hidden="false" customHeight="true" outlineLevel="0" collapsed="false">
      <c r="A94" s="26" t="s">
        <v>267</v>
      </c>
      <c r="B94" s="26" t="s">
        <v>268</v>
      </c>
      <c r="C94" s="27" t="s">
        <v>91</v>
      </c>
      <c r="D94" s="28" t="n">
        <v>3335000</v>
      </c>
      <c r="E94" s="28" t="n">
        <v>245515.61</v>
      </c>
      <c r="F94" s="29" t="n">
        <v>0.2122</v>
      </c>
      <c r="G94" s="27" t="n">
        <v>36</v>
      </c>
      <c r="H94" s="28" t="n">
        <v>126023.37</v>
      </c>
      <c r="I94" s="30" t="n">
        <v>45129</v>
      </c>
      <c r="J94" s="30" t="n">
        <v>46209</v>
      </c>
      <c r="K94" s="27" t="s">
        <v>81</v>
      </c>
      <c r="L94" s="31" t="n">
        <v>0</v>
      </c>
      <c r="M94" s="35" t="s">
        <v>269</v>
      </c>
      <c r="N94" s="27" t="n">
        <v>662</v>
      </c>
    </row>
    <row r="95" customFormat="false" ht="15" hidden="false" customHeight="true" outlineLevel="0" collapsed="false">
      <c r="A95" s="19" t="s">
        <v>270</v>
      </c>
      <c r="B95" s="19" t="s">
        <v>271</v>
      </c>
      <c r="C95" s="20" t="s">
        <v>99</v>
      </c>
      <c r="D95" s="21" t="n">
        <v>2653000</v>
      </c>
      <c r="E95" s="21" t="n">
        <v>0.01</v>
      </c>
      <c r="F95" s="22" t="n">
        <v>0.1558</v>
      </c>
      <c r="G95" s="20" t="n">
        <v>36</v>
      </c>
      <c r="H95" s="21" t="n">
        <v>92722.43</v>
      </c>
      <c r="I95" s="23" t="n">
        <v>44780</v>
      </c>
      <c r="J95" s="23" t="n">
        <v>45860</v>
      </c>
      <c r="K95" s="20" t="s">
        <v>94</v>
      </c>
      <c r="L95" s="24" t="n">
        <v>0</v>
      </c>
      <c r="M95" s="25" t="s">
        <v>77</v>
      </c>
      <c r="N95" s="20" t="n">
        <v>730</v>
      </c>
    </row>
    <row r="96" customFormat="false" ht="15" hidden="false" customHeight="true" outlineLevel="0" collapsed="false">
      <c r="A96" s="26" t="s">
        <v>272</v>
      </c>
      <c r="B96" s="26" t="s">
        <v>273</v>
      </c>
      <c r="C96" s="27" t="s">
        <v>91</v>
      </c>
      <c r="D96" s="28" t="n">
        <v>3479000</v>
      </c>
      <c r="E96" s="28" t="n">
        <v>2737606.97</v>
      </c>
      <c r="F96" s="29" t="n">
        <v>0.1857</v>
      </c>
      <c r="G96" s="27" t="n">
        <v>84</v>
      </c>
      <c r="H96" s="28" t="n">
        <v>74287.96</v>
      </c>
      <c r="I96" s="30" t="n">
        <v>45286</v>
      </c>
      <c r="J96" s="30" t="n">
        <v>47806</v>
      </c>
      <c r="K96" s="27" t="s">
        <v>81</v>
      </c>
      <c r="L96" s="31" t="n">
        <v>0</v>
      </c>
      <c r="M96" s="25" t="s">
        <v>77</v>
      </c>
      <c r="N96" s="27" t="n">
        <v>608</v>
      </c>
    </row>
    <row r="97" customFormat="false" ht="15" hidden="false" customHeight="true" outlineLevel="0" collapsed="false">
      <c r="A97" s="19" t="s">
        <v>274</v>
      </c>
      <c r="B97" s="19" t="s">
        <v>275</v>
      </c>
      <c r="C97" s="20" t="s">
        <v>91</v>
      </c>
      <c r="D97" s="21" t="n">
        <v>1212000</v>
      </c>
      <c r="E97" s="21" t="n">
        <v>0.13</v>
      </c>
      <c r="F97" s="22" t="n">
        <v>0.1911</v>
      </c>
      <c r="G97" s="20" t="n">
        <v>60</v>
      </c>
      <c r="H97" s="21" t="n">
        <v>31513.35</v>
      </c>
      <c r="I97" s="23" t="n">
        <v>44032</v>
      </c>
      <c r="J97" s="23" t="n">
        <v>45832</v>
      </c>
      <c r="K97" s="20" t="s">
        <v>94</v>
      </c>
      <c r="L97" s="24" t="n">
        <v>0</v>
      </c>
      <c r="M97" s="34" t="s">
        <v>194</v>
      </c>
      <c r="N97" s="20" t="n">
        <v>562</v>
      </c>
    </row>
    <row r="98" customFormat="false" ht="15" hidden="false" customHeight="true" outlineLevel="0" collapsed="false">
      <c r="A98" s="26" t="s">
        <v>276</v>
      </c>
      <c r="B98" s="26" t="s">
        <v>277</v>
      </c>
      <c r="C98" s="27" t="s">
        <v>75</v>
      </c>
      <c r="D98" s="28" t="n">
        <v>4369000</v>
      </c>
      <c r="E98" s="28" t="n">
        <v>0</v>
      </c>
      <c r="F98" s="29" t="n">
        <v>0.1538</v>
      </c>
      <c r="G98" s="27" t="n">
        <v>60</v>
      </c>
      <c r="H98" s="28" t="n">
        <v>104811.71</v>
      </c>
      <c r="I98" s="30" t="n">
        <v>43219</v>
      </c>
      <c r="J98" s="30" t="n">
        <v>45019</v>
      </c>
      <c r="K98" s="27" t="s">
        <v>81</v>
      </c>
      <c r="L98" s="31" t="n">
        <v>0</v>
      </c>
      <c r="M98" s="25" t="s">
        <v>77</v>
      </c>
      <c r="N98" s="27" t="n">
        <v>641</v>
      </c>
    </row>
    <row r="99" customFormat="false" ht="15" hidden="false" customHeight="true" outlineLevel="0" collapsed="false">
      <c r="A99" s="19" t="s">
        <v>278</v>
      </c>
      <c r="B99" s="19" t="s">
        <v>279</v>
      </c>
      <c r="C99" s="20" t="s">
        <v>91</v>
      </c>
      <c r="D99" s="21" t="n">
        <v>2851000</v>
      </c>
      <c r="E99" s="21" t="n">
        <v>0</v>
      </c>
      <c r="F99" s="22" t="n">
        <v>0.2078</v>
      </c>
      <c r="G99" s="20" t="n">
        <v>36</v>
      </c>
      <c r="H99" s="21" t="n">
        <v>107089.85</v>
      </c>
      <c r="I99" s="23" t="n">
        <v>43818</v>
      </c>
      <c r="J99" s="23" t="n">
        <v>44898</v>
      </c>
      <c r="K99" s="20" t="s">
        <v>81</v>
      </c>
      <c r="L99" s="24" t="n">
        <v>0</v>
      </c>
      <c r="M99" s="25" t="s">
        <v>77</v>
      </c>
      <c r="N99" s="20" t="n">
        <v>730</v>
      </c>
    </row>
    <row r="100" customFormat="false" ht="15" hidden="false" customHeight="true" outlineLevel="0" collapsed="false">
      <c r="A100" s="26" t="s">
        <v>280</v>
      </c>
      <c r="B100" s="26" t="s">
        <v>281</v>
      </c>
      <c r="C100" s="27" t="s">
        <v>80</v>
      </c>
      <c r="D100" s="28" t="n">
        <v>4569000</v>
      </c>
      <c r="E100" s="28" t="n">
        <v>3628459.39</v>
      </c>
      <c r="F100" s="29" t="n">
        <v>0.1072</v>
      </c>
      <c r="G100" s="27" t="n">
        <v>180</v>
      </c>
      <c r="H100" s="28" t="n">
        <v>51130.62</v>
      </c>
      <c r="I100" s="30" t="n">
        <v>44141</v>
      </c>
      <c r="J100" s="30" t="n">
        <v>49541</v>
      </c>
      <c r="K100" s="27" t="s">
        <v>81</v>
      </c>
      <c r="L100" s="31" t="n">
        <v>0</v>
      </c>
      <c r="M100" s="25" t="s">
        <v>77</v>
      </c>
      <c r="N100" s="27" t="n">
        <v>748</v>
      </c>
    </row>
    <row r="101" customFormat="false" ht="15" hidden="false" customHeight="true" outlineLevel="0" collapsed="false">
      <c r="A101" s="19" t="s">
        <v>282</v>
      </c>
      <c r="B101" s="19" t="s">
        <v>283</v>
      </c>
      <c r="C101" s="20" t="s">
        <v>99</v>
      </c>
      <c r="D101" s="21" t="n">
        <v>2237000</v>
      </c>
      <c r="E101" s="21" t="n">
        <v>754066.73</v>
      </c>
      <c r="F101" s="22" t="n">
        <v>0.1386</v>
      </c>
      <c r="G101" s="20" t="n">
        <v>60</v>
      </c>
      <c r="H101" s="21" t="n">
        <v>51888.86</v>
      </c>
      <c r="I101" s="23" t="n">
        <v>44838</v>
      </c>
      <c r="J101" s="23" t="n">
        <v>46638</v>
      </c>
      <c r="K101" s="20" t="s">
        <v>94</v>
      </c>
      <c r="L101" s="24" t="n">
        <v>0</v>
      </c>
      <c r="M101" s="25" t="s">
        <v>77</v>
      </c>
      <c r="N101" s="20" t="n">
        <v>649</v>
      </c>
    </row>
    <row r="102" customFormat="false" ht="15" hidden="false" customHeight="true" outlineLevel="0" collapsed="false">
      <c r="A102" s="26" t="s">
        <v>284</v>
      </c>
      <c r="B102" s="26" t="s">
        <v>285</v>
      </c>
      <c r="C102" s="27" t="s">
        <v>99</v>
      </c>
      <c r="D102" s="28" t="n">
        <v>4274000</v>
      </c>
      <c r="E102" s="28" t="n">
        <v>3751221.53</v>
      </c>
      <c r="F102" s="29" t="n">
        <v>0.1015</v>
      </c>
      <c r="G102" s="27" t="n">
        <v>120</v>
      </c>
      <c r="H102" s="28" t="n">
        <v>56836.83</v>
      </c>
      <c r="I102" s="30" t="n">
        <v>45443</v>
      </c>
      <c r="J102" s="30" t="n">
        <v>49043</v>
      </c>
      <c r="K102" s="27" t="s">
        <v>81</v>
      </c>
      <c r="L102" s="31" t="n">
        <v>0</v>
      </c>
      <c r="M102" s="36" t="s">
        <v>286</v>
      </c>
      <c r="N102" s="27" t="n">
        <v>627</v>
      </c>
    </row>
    <row r="103" customFormat="false" ht="15" hidden="false" customHeight="true" outlineLevel="0" collapsed="false">
      <c r="A103" s="19" t="s">
        <v>287</v>
      </c>
      <c r="B103" s="19" t="s">
        <v>288</v>
      </c>
      <c r="C103" s="20" t="s">
        <v>80</v>
      </c>
      <c r="D103" s="21" t="n">
        <v>90000</v>
      </c>
      <c r="E103" s="21" t="n">
        <v>0</v>
      </c>
      <c r="F103" s="22" t="n">
        <v>0.2191</v>
      </c>
      <c r="G103" s="20" t="n">
        <v>12</v>
      </c>
      <c r="H103" s="21" t="n">
        <v>8419.6</v>
      </c>
      <c r="I103" s="23" t="n">
        <v>45135</v>
      </c>
      <c r="J103" s="23" t="n">
        <v>45495</v>
      </c>
      <c r="K103" s="20" t="s">
        <v>81</v>
      </c>
      <c r="L103" s="24" t="n">
        <v>0</v>
      </c>
      <c r="M103" s="25" t="s">
        <v>77</v>
      </c>
      <c r="N103" s="20" t="n">
        <v>708</v>
      </c>
    </row>
    <row r="104" customFormat="false" ht="15" hidden="false" customHeight="true" outlineLevel="0" collapsed="false">
      <c r="A104" s="26" t="s">
        <v>289</v>
      </c>
      <c r="B104" s="26" t="s">
        <v>290</v>
      </c>
      <c r="C104" s="27" t="s">
        <v>80</v>
      </c>
      <c r="D104" s="28" t="n">
        <v>991000</v>
      </c>
      <c r="E104" s="28" t="n">
        <v>0.12</v>
      </c>
      <c r="F104" s="29" t="n">
        <v>0.1238</v>
      </c>
      <c r="G104" s="27" t="n">
        <v>36</v>
      </c>
      <c r="H104" s="28" t="n">
        <v>33095.53</v>
      </c>
      <c r="I104" s="30" t="n">
        <v>43498</v>
      </c>
      <c r="J104" s="30" t="n">
        <v>44578</v>
      </c>
      <c r="K104" s="27" t="s">
        <v>94</v>
      </c>
      <c r="L104" s="31" t="n">
        <v>0</v>
      </c>
      <c r="M104" s="25" t="s">
        <v>77</v>
      </c>
      <c r="N104" s="27" t="n">
        <v>599</v>
      </c>
    </row>
    <row r="105" customFormat="false" ht="15" hidden="false" customHeight="true" outlineLevel="0" collapsed="false">
      <c r="A105" s="19" t="s">
        <v>291</v>
      </c>
      <c r="B105" s="19" t="s">
        <v>292</v>
      </c>
      <c r="C105" s="20" t="s">
        <v>80</v>
      </c>
      <c r="D105" s="21" t="n">
        <v>4553000</v>
      </c>
      <c r="E105" s="21" t="n">
        <v>2313622.66</v>
      </c>
      <c r="F105" s="22" t="n">
        <v>0.1356</v>
      </c>
      <c r="G105" s="20" t="n">
        <v>120</v>
      </c>
      <c r="H105" s="21" t="n">
        <v>69493.28</v>
      </c>
      <c r="I105" s="23" t="n">
        <v>43820</v>
      </c>
      <c r="J105" s="23" t="n">
        <v>47420</v>
      </c>
      <c r="K105" s="20" t="s">
        <v>81</v>
      </c>
      <c r="L105" s="24" t="n">
        <v>0</v>
      </c>
      <c r="M105" s="25" t="s">
        <v>77</v>
      </c>
      <c r="N105" s="20" t="n">
        <v>641</v>
      </c>
    </row>
    <row r="106" customFormat="false" ht="15" hidden="false" customHeight="true" outlineLevel="0" collapsed="false">
      <c r="A106" s="26" t="s">
        <v>293</v>
      </c>
      <c r="B106" s="26" t="s">
        <v>294</v>
      </c>
      <c r="C106" s="27" t="s">
        <v>91</v>
      </c>
      <c r="D106" s="28" t="n">
        <v>4572000</v>
      </c>
      <c r="E106" s="28" t="n">
        <v>2417051.2</v>
      </c>
      <c r="F106" s="29" t="n">
        <v>0.2137</v>
      </c>
      <c r="G106" s="27" t="n">
        <v>60</v>
      </c>
      <c r="H106" s="28" t="n">
        <v>124641.45</v>
      </c>
      <c r="I106" s="30" t="n">
        <v>45074</v>
      </c>
      <c r="J106" s="30" t="n">
        <v>46874</v>
      </c>
      <c r="K106" s="27" t="s">
        <v>81</v>
      </c>
      <c r="L106" s="31" t="n">
        <v>0</v>
      </c>
      <c r="M106" s="25" t="s">
        <v>77</v>
      </c>
      <c r="N106" s="27" t="n">
        <v>701</v>
      </c>
    </row>
    <row r="107" customFormat="false" ht="15" hidden="false" customHeight="true" outlineLevel="0" collapsed="false">
      <c r="A107" s="19" t="s">
        <v>295</v>
      </c>
      <c r="B107" s="19" t="s">
        <v>296</v>
      </c>
      <c r="C107" s="20" t="s">
        <v>91</v>
      </c>
      <c r="D107" s="21" t="n">
        <v>1167000</v>
      </c>
      <c r="E107" s="21" t="n">
        <v>1066420.93</v>
      </c>
      <c r="F107" s="22" t="n">
        <v>0.1898</v>
      </c>
      <c r="G107" s="20" t="n">
        <v>120</v>
      </c>
      <c r="H107" s="21" t="n">
        <v>21769.41</v>
      </c>
      <c r="I107" s="23" t="n">
        <v>45383</v>
      </c>
      <c r="J107" s="23" t="n">
        <v>48983</v>
      </c>
      <c r="K107" s="20" t="s">
        <v>81</v>
      </c>
      <c r="L107" s="24" t="n">
        <v>0</v>
      </c>
      <c r="M107" s="25" t="s">
        <v>77</v>
      </c>
      <c r="N107" s="20" t="n">
        <v>789</v>
      </c>
    </row>
    <row r="108" customFormat="false" ht="15" hidden="false" customHeight="true" outlineLevel="0" collapsed="false">
      <c r="A108" s="26" t="s">
        <v>297</v>
      </c>
      <c r="B108" s="26" t="s">
        <v>298</v>
      </c>
      <c r="C108" s="27" t="s">
        <v>91</v>
      </c>
      <c r="D108" s="28" t="n">
        <v>2301000</v>
      </c>
      <c r="E108" s="28" t="n">
        <v>547397.68</v>
      </c>
      <c r="F108" s="29" t="n">
        <v>0.1893</v>
      </c>
      <c r="G108" s="27" t="n">
        <v>60</v>
      </c>
      <c r="H108" s="28" t="n">
        <v>59600.62</v>
      </c>
      <c r="I108" s="30" t="n">
        <v>44661</v>
      </c>
      <c r="J108" s="30" t="n">
        <v>46461</v>
      </c>
      <c r="K108" s="27" t="s">
        <v>94</v>
      </c>
      <c r="L108" s="31" t="n">
        <v>0</v>
      </c>
      <c r="M108" s="25" t="s">
        <v>77</v>
      </c>
      <c r="N108" s="27" t="n">
        <v>731</v>
      </c>
    </row>
    <row r="109" customFormat="false" ht="15" hidden="false" customHeight="true" outlineLevel="0" collapsed="false">
      <c r="A109" s="19" t="s">
        <v>299</v>
      </c>
      <c r="B109" s="19" t="s">
        <v>300</v>
      </c>
      <c r="C109" s="20" t="s">
        <v>91</v>
      </c>
      <c r="D109" s="21" t="n">
        <v>1674000</v>
      </c>
      <c r="E109" s="21" t="n">
        <v>0</v>
      </c>
      <c r="F109" s="22" t="n">
        <v>0.1796</v>
      </c>
      <c r="G109" s="20" t="n">
        <v>24</v>
      </c>
      <c r="H109" s="21" t="n">
        <v>83540.6</v>
      </c>
      <c r="I109" s="23" t="n">
        <v>45002</v>
      </c>
      <c r="J109" s="23" t="n">
        <v>45722</v>
      </c>
      <c r="K109" s="20" t="s">
        <v>94</v>
      </c>
      <c r="L109" s="24" t="n">
        <v>0</v>
      </c>
      <c r="M109" s="25" t="s">
        <v>77</v>
      </c>
      <c r="N109" s="20" t="n">
        <v>529</v>
      </c>
    </row>
    <row r="110" customFormat="false" ht="15" hidden="false" customHeight="true" outlineLevel="0" collapsed="false">
      <c r="A110" s="26" t="s">
        <v>301</v>
      </c>
      <c r="B110" s="26" t="s">
        <v>302</v>
      </c>
      <c r="C110" s="27" t="s">
        <v>80</v>
      </c>
      <c r="D110" s="28" t="n">
        <v>234000</v>
      </c>
      <c r="E110" s="28" t="n">
        <v>0.01</v>
      </c>
      <c r="F110" s="29" t="n">
        <v>0.2394</v>
      </c>
      <c r="G110" s="27" t="n">
        <v>24</v>
      </c>
      <c r="H110" s="28" t="n">
        <v>12364.83</v>
      </c>
      <c r="I110" s="30" t="n">
        <v>43499</v>
      </c>
      <c r="J110" s="30" t="n">
        <v>44219</v>
      </c>
      <c r="K110" s="27" t="s">
        <v>81</v>
      </c>
      <c r="L110" s="31" t="n">
        <v>0</v>
      </c>
      <c r="M110" s="25" t="s">
        <v>77</v>
      </c>
      <c r="N110" s="27" t="n">
        <v>539</v>
      </c>
    </row>
    <row r="111" customFormat="false" ht="15" hidden="false" customHeight="true" outlineLevel="0" collapsed="false">
      <c r="A111" s="19" t="s">
        <v>303</v>
      </c>
      <c r="B111" s="19" t="s">
        <v>304</v>
      </c>
      <c r="C111" s="20" t="s">
        <v>91</v>
      </c>
      <c r="D111" s="21" t="n">
        <v>2724000</v>
      </c>
      <c r="E111" s="21" t="n">
        <v>0.06</v>
      </c>
      <c r="F111" s="22" t="n">
        <v>0.176</v>
      </c>
      <c r="G111" s="20" t="n">
        <v>36</v>
      </c>
      <c r="H111" s="21" t="n">
        <v>97933.39</v>
      </c>
      <c r="I111" s="23" t="n">
        <v>44800</v>
      </c>
      <c r="J111" s="23" t="n">
        <v>45880</v>
      </c>
      <c r="K111" s="20" t="s">
        <v>94</v>
      </c>
      <c r="L111" s="24" t="n">
        <v>0</v>
      </c>
      <c r="M111" s="25" t="s">
        <v>77</v>
      </c>
      <c r="N111" s="20" t="n">
        <v>787</v>
      </c>
    </row>
    <row r="112" customFormat="false" ht="15" hidden="false" customHeight="true" outlineLevel="0" collapsed="false">
      <c r="A112" s="26" t="s">
        <v>305</v>
      </c>
      <c r="B112" s="26" t="s">
        <v>306</v>
      </c>
      <c r="C112" s="27" t="s">
        <v>99</v>
      </c>
      <c r="D112" s="28" t="n">
        <v>1435000</v>
      </c>
      <c r="E112" s="28" t="n">
        <v>283008.06</v>
      </c>
      <c r="F112" s="29" t="n">
        <v>0.192</v>
      </c>
      <c r="G112" s="27" t="n">
        <v>48</v>
      </c>
      <c r="H112" s="28" t="n">
        <v>43058.26</v>
      </c>
      <c r="I112" s="30" t="n">
        <v>44917</v>
      </c>
      <c r="J112" s="30" t="n">
        <v>46357</v>
      </c>
      <c r="K112" s="27" t="s">
        <v>81</v>
      </c>
      <c r="L112" s="31" t="n">
        <v>0</v>
      </c>
      <c r="M112" s="25" t="s">
        <v>77</v>
      </c>
      <c r="N112" s="27" t="n">
        <v>631</v>
      </c>
    </row>
    <row r="113" customFormat="false" ht="15" hidden="false" customHeight="true" outlineLevel="0" collapsed="false">
      <c r="A113" s="19" t="s">
        <v>307</v>
      </c>
      <c r="B113" s="19" t="s">
        <v>308</v>
      </c>
      <c r="C113" s="20" t="s">
        <v>99</v>
      </c>
      <c r="D113" s="21" t="n">
        <v>3242000</v>
      </c>
      <c r="E113" s="21" t="n">
        <v>0.25</v>
      </c>
      <c r="F113" s="22" t="n">
        <v>0.0944</v>
      </c>
      <c r="G113" s="20" t="n">
        <v>60</v>
      </c>
      <c r="H113" s="21" t="n">
        <v>67993.01</v>
      </c>
      <c r="I113" s="23" t="n">
        <v>43878</v>
      </c>
      <c r="J113" s="23" t="n">
        <v>45678</v>
      </c>
      <c r="K113" s="20" t="s">
        <v>81</v>
      </c>
      <c r="L113" s="24" t="n">
        <v>0</v>
      </c>
      <c r="M113" s="25" t="s">
        <v>77</v>
      </c>
      <c r="N113" s="20" t="n">
        <v>554</v>
      </c>
    </row>
    <row r="114" customFormat="false" ht="15" hidden="false" customHeight="true" outlineLevel="0" collapsed="false">
      <c r="A114" s="26" t="s">
        <v>309</v>
      </c>
      <c r="B114" s="26" t="s">
        <v>310</v>
      </c>
      <c r="C114" s="27" t="s">
        <v>75</v>
      </c>
      <c r="D114" s="28" t="n">
        <v>3226000</v>
      </c>
      <c r="E114" s="28" t="n">
        <v>0.01</v>
      </c>
      <c r="F114" s="29" t="n">
        <v>0.1776</v>
      </c>
      <c r="G114" s="27" t="n">
        <v>12</v>
      </c>
      <c r="H114" s="28" t="n">
        <v>295391.31</v>
      </c>
      <c r="I114" s="30" t="n">
        <v>43308</v>
      </c>
      <c r="J114" s="30" t="n">
        <v>43668</v>
      </c>
      <c r="K114" s="27" t="s">
        <v>81</v>
      </c>
      <c r="L114" s="31" t="n">
        <v>0</v>
      </c>
      <c r="M114" s="25" t="s">
        <v>77</v>
      </c>
      <c r="N114" s="27" t="n">
        <v>797</v>
      </c>
    </row>
    <row r="115" customFormat="false" ht="15" hidden="false" customHeight="true" outlineLevel="0" collapsed="false">
      <c r="A115" s="19" t="s">
        <v>311</v>
      </c>
      <c r="B115" s="19" t="s">
        <v>312</v>
      </c>
      <c r="C115" s="20" t="s">
        <v>80</v>
      </c>
      <c r="D115" s="21" t="n">
        <v>2953000</v>
      </c>
      <c r="E115" s="21" t="n">
        <v>0.23</v>
      </c>
      <c r="F115" s="22" t="n">
        <v>0.211</v>
      </c>
      <c r="G115" s="20" t="n">
        <v>48</v>
      </c>
      <c r="H115" s="21" t="n">
        <v>91600.6</v>
      </c>
      <c r="I115" s="23" t="n">
        <v>44446</v>
      </c>
      <c r="J115" s="23" t="n">
        <v>45886</v>
      </c>
      <c r="K115" s="20" t="s">
        <v>81</v>
      </c>
      <c r="L115" s="24" t="n">
        <v>0</v>
      </c>
      <c r="M115" s="25" t="s">
        <v>77</v>
      </c>
      <c r="N115" s="20" t="n">
        <v>718</v>
      </c>
    </row>
    <row r="116" customFormat="false" ht="15" hidden="false" customHeight="true" outlineLevel="0" collapsed="false">
      <c r="A116" s="26" t="s">
        <v>313</v>
      </c>
      <c r="B116" s="26" t="s">
        <v>314</v>
      </c>
      <c r="C116" s="27" t="s">
        <v>99</v>
      </c>
      <c r="D116" s="28" t="n">
        <v>766000</v>
      </c>
      <c r="E116" s="28" t="n">
        <v>0.2</v>
      </c>
      <c r="F116" s="29" t="n">
        <v>0.1051</v>
      </c>
      <c r="G116" s="27" t="n">
        <v>60</v>
      </c>
      <c r="H116" s="28" t="n">
        <v>16468.12</v>
      </c>
      <c r="I116" s="30" t="n">
        <v>43815</v>
      </c>
      <c r="J116" s="30" t="n">
        <v>45615</v>
      </c>
      <c r="K116" s="27" t="s">
        <v>81</v>
      </c>
      <c r="L116" s="31" t="n">
        <v>0</v>
      </c>
      <c r="M116" s="25" t="s">
        <v>77</v>
      </c>
      <c r="N116" s="27" t="n">
        <v>580</v>
      </c>
    </row>
    <row r="117" customFormat="false" ht="15" hidden="false" customHeight="true" outlineLevel="0" collapsed="false">
      <c r="A117" s="19" t="s">
        <v>315</v>
      </c>
      <c r="B117" s="19" t="s">
        <v>316</v>
      </c>
      <c r="C117" s="20" t="s">
        <v>91</v>
      </c>
      <c r="D117" s="21" t="n">
        <v>128000</v>
      </c>
      <c r="E117" s="21" t="n">
        <v>0.02</v>
      </c>
      <c r="F117" s="22" t="n">
        <v>0.1261</v>
      </c>
      <c r="G117" s="20" t="n">
        <v>36</v>
      </c>
      <c r="H117" s="21" t="n">
        <v>4288.82</v>
      </c>
      <c r="I117" s="23" t="n">
        <v>44825</v>
      </c>
      <c r="J117" s="23" t="n">
        <v>45905</v>
      </c>
      <c r="K117" s="20" t="s">
        <v>76</v>
      </c>
      <c r="L117" s="24" t="n">
        <v>0</v>
      </c>
      <c r="M117" s="25" t="s">
        <v>77</v>
      </c>
      <c r="N117" s="20" t="n">
        <v>695</v>
      </c>
    </row>
    <row r="118" customFormat="false" ht="15" hidden="false" customHeight="true" outlineLevel="0" collapsed="false">
      <c r="A118" s="26" t="s">
        <v>317</v>
      </c>
      <c r="B118" s="26" t="s">
        <v>318</v>
      </c>
      <c r="C118" s="27" t="s">
        <v>84</v>
      </c>
      <c r="D118" s="28" t="n">
        <v>2591000</v>
      </c>
      <c r="E118" s="28" t="n">
        <v>2268459.69</v>
      </c>
      <c r="F118" s="29" t="n">
        <v>0.1019</v>
      </c>
      <c r="G118" s="27" t="n">
        <v>240</v>
      </c>
      <c r="H118" s="28" t="n">
        <v>25330.75</v>
      </c>
      <c r="I118" s="30" t="n">
        <v>44008</v>
      </c>
      <c r="J118" s="30" t="n">
        <v>51208</v>
      </c>
      <c r="K118" s="27" t="s">
        <v>76</v>
      </c>
      <c r="L118" s="31" t="n">
        <v>0</v>
      </c>
      <c r="M118" s="25" t="s">
        <v>77</v>
      </c>
      <c r="N118" s="27" t="n">
        <v>566</v>
      </c>
    </row>
    <row r="119" customFormat="false" ht="15" hidden="false" customHeight="true" outlineLevel="0" collapsed="false">
      <c r="A119" s="19" t="s">
        <v>319</v>
      </c>
      <c r="B119" s="19" t="s">
        <v>320</v>
      </c>
      <c r="C119" s="20" t="s">
        <v>91</v>
      </c>
      <c r="D119" s="21" t="n">
        <v>351000</v>
      </c>
      <c r="E119" s="21" t="n">
        <v>281709.95</v>
      </c>
      <c r="F119" s="22" t="n">
        <v>0.1592</v>
      </c>
      <c r="G119" s="20" t="n">
        <v>120</v>
      </c>
      <c r="H119" s="21" t="n">
        <v>5862.22</v>
      </c>
      <c r="I119" s="23" t="n">
        <v>44847</v>
      </c>
      <c r="J119" s="23" t="n">
        <v>48447</v>
      </c>
      <c r="K119" s="20" t="s">
        <v>94</v>
      </c>
      <c r="L119" s="24" t="n">
        <v>0</v>
      </c>
      <c r="M119" s="25" t="s">
        <v>77</v>
      </c>
      <c r="N119" s="20" t="n">
        <v>470</v>
      </c>
    </row>
    <row r="120" customFormat="false" ht="15" hidden="false" customHeight="true" outlineLevel="0" collapsed="false">
      <c r="A120" s="26" t="s">
        <v>321</v>
      </c>
      <c r="B120" s="26" t="s">
        <v>322</v>
      </c>
      <c r="C120" s="27" t="s">
        <v>80</v>
      </c>
      <c r="D120" s="28" t="n">
        <v>450000</v>
      </c>
      <c r="E120" s="28" t="n">
        <v>0</v>
      </c>
      <c r="F120" s="29" t="n">
        <v>0.1793</v>
      </c>
      <c r="G120" s="27" t="n">
        <v>24</v>
      </c>
      <c r="H120" s="28" t="n">
        <v>22450.63</v>
      </c>
      <c r="I120" s="30" t="n">
        <v>43617</v>
      </c>
      <c r="J120" s="30" t="n">
        <v>44337</v>
      </c>
      <c r="K120" s="27" t="s">
        <v>81</v>
      </c>
      <c r="L120" s="31" t="n">
        <v>0</v>
      </c>
      <c r="M120" s="25" t="s">
        <v>77</v>
      </c>
      <c r="N120" s="27" t="n">
        <v>723</v>
      </c>
    </row>
    <row r="121" customFormat="false" ht="15" hidden="false" customHeight="true" outlineLevel="0" collapsed="false">
      <c r="A121" s="19" t="s">
        <v>323</v>
      </c>
      <c r="B121" s="19" t="s">
        <v>324</v>
      </c>
      <c r="C121" s="20" t="s">
        <v>91</v>
      </c>
      <c r="D121" s="21" t="n">
        <v>2296000</v>
      </c>
      <c r="E121" s="21" t="n">
        <v>0</v>
      </c>
      <c r="F121" s="22" t="n">
        <v>0.1788</v>
      </c>
      <c r="G121" s="20" t="n">
        <v>24</v>
      </c>
      <c r="H121" s="21" t="n">
        <v>114492.66</v>
      </c>
      <c r="I121" s="23" t="n">
        <v>43569</v>
      </c>
      <c r="J121" s="23" t="n">
        <v>44289</v>
      </c>
      <c r="K121" s="20" t="s">
        <v>94</v>
      </c>
      <c r="L121" s="24" t="n">
        <v>0</v>
      </c>
      <c r="M121" s="25" t="s">
        <v>77</v>
      </c>
      <c r="N121" s="20" t="n">
        <v>768</v>
      </c>
    </row>
    <row r="122" customFormat="false" ht="15" hidden="false" customHeight="true" outlineLevel="0" collapsed="false">
      <c r="A122" s="26" t="s">
        <v>325</v>
      </c>
      <c r="B122" s="26" t="s">
        <v>326</v>
      </c>
      <c r="C122" s="27" t="s">
        <v>99</v>
      </c>
      <c r="D122" s="28" t="n">
        <v>2179000</v>
      </c>
      <c r="E122" s="28" t="n">
        <v>1707519.35</v>
      </c>
      <c r="F122" s="29" t="n">
        <v>0.2227</v>
      </c>
      <c r="G122" s="27" t="n">
        <v>120</v>
      </c>
      <c r="H122" s="28" t="n">
        <v>45440.5</v>
      </c>
      <c r="I122" s="30" t="n">
        <v>44489</v>
      </c>
      <c r="J122" s="30" t="n">
        <v>48089</v>
      </c>
      <c r="K122" s="27" t="s">
        <v>81</v>
      </c>
      <c r="L122" s="31" t="n">
        <v>0</v>
      </c>
      <c r="M122" s="25" t="s">
        <v>77</v>
      </c>
      <c r="N122" s="27" t="n">
        <v>666</v>
      </c>
    </row>
    <row r="123" customFormat="false" ht="15" hidden="false" customHeight="true" outlineLevel="0" collapsed="false">
      <c r="A123" s="19" t="s">
        <v>327</v>
      </c>
      <c r="B123" s="19" t="s">
        <v>328</v>
      </c>
      <c r="C123" s="20" t="s">
        <v>91</v>
      </c>
      <c r="D123" s="21" t="n">
        <v>806000</v>
      </c>
      <c r="E123" s="21" t="n">
        <v>0.1</v>
      </c>
      <c r="F123" s="22" t="n">
        <v>0.2281</v>
      </c>
      <c r="G123" s="20" t="n">
        <v>24</v>
      </c>
      <c r="H123" s="21" t="n">
        <v>42136.89</v>
      </c>
      <c r="I123" s="23" t="n">
        <v>43474</v>
      </c>
      <c r="J123" s="23" t="n">
        <v>44194</v>
      </c>
      <c r="K123" s="20" t="s">
        <v>81</v>
      </c>
      <c r="L123" s="24" t="n">
        <v>0</v>
      </c>
      <c r="M123" s="25" t="s">
        <v>77</v>
      </c>
      <c r="N123" s="20" t="n">
        <v>630</v>
      </c>
    </row>
    <row r="124" customFormat="false" ht="15" hidden="false" customHeight="true" outlineLevel="0" collapsed="false">
      <c r="A124" s="26" t="s">
        <v>329</v>
      </c>
      <c r="B124" s="26" t="s">
        <v>330</v>
      </c>
      <c r="C124" s="27" t="s">
        <v>91</v>
      </c>
      <c r="D124" s="28" t="n">
        <v>694000</v>
      </c>
      <c r="E124" s="28" t="n">
        <v>666944.76</v>
      </c>
      <c r="F124" s="29" t="n">
        <v>0.0943</v>
      </c>
      <c r="G124" s="27" t="n">
        <v>240</v>
      </c>
      <c r="H124" s="28" t="n">
        <v>6437.3</v>
      </c>
      <c r="I124" s="30" t="n">
        <v>45401</v>
      </c>
      <c r="J124" s="30" t="n">
        <v>52601</v>
      </c>
      <c r="K124" s="27" t="s">
        <v>81</v>
      </c>
      <c r="L124" s="31" t="n">
        <v>0</v>
      </c>
      <c r="M124" s="25" t="s">
        <v>77</v>
      </c>
      <c r="N124" s="27" t="n">
        <v>603</v>
      </c>
    </row>
    <row r="125" customFormat="false" ht="15" hidden="false" customHeight="true" outlineLevel="0" collapsed="false">
      <c r="A125" s="19" t="s">
        <v>331</v>
      </c>
      <c r="B125" s="19" t="s">
        <v>332</v>
      </c>
      <c r="C125" s="20" t="s">
        <v>99</v>
      </c>
      <c r="D125" s="21" t="n">
        <v>305000</v>
      </c>
      <c r="E125" s="21" t="n">
        <v>40072.63</v>
      </c>
      <c r="F125" s="22" t="n">
        <v>0.1296</v>
      </c>
      <c r="G125" s="20" t="n">
        <v>60</v>
      </c>
      <c r="H125" s="21" t="n">
        <v>6933.44</v>
      </c>
      <c r="I125" s="23" t="n">
        <v>44541</v>
      </c>
      <c r="J125" s="23" t="n">
        <v>46341</v>
      </c>
      <c r="K125" s="20" t="s">
        <v>81</v>
      </c>
      <c r="L125" s="24" t="n">
        <v>0</v>
      </c>
      <c r="M125" s="25" t="s">
        <v>77</v>
      </c>
      <c r="N125" s="20" t="n">
        <v>512</v>
      </c>
    </row>
    <row r="126" customFormat="false" ht="15" hidden="false" customHeight="true" outlineLevel="0" collapsed="false">
      <c r="A126" s="26" t="s">
        <v>333</v>
      </c>
      <c r="B126" s="26" t="s">
        <v>334</v>
      </c>
      <c r="C126" s="27" t="s">
        <v>91</v>
      </c>
      <c r="D126" s="28" t="n">
        <v>4244000</v>
      </c>
      <c r="E126" s="28" t="n">
        <v>4016592.64</v>
      </c>
      <c r="F126" s="29" t="n">
        <v>0.1393</v>
      </c>
      <c r="G126" s="27" t="n">
        <v>240</v>
      </c>
      <c r="H126" s="28" t="n">
        <v>52559.4</v>
      </c>
      <c r="I126" s="30" t="n">
        <v>44606</v>
      </c>
      <c r="J126" s="30" t="n">
        <v>51806</v>
      </c>
      <c r="K126" s="27" t="s">
        <v>81</v>
      </c>
      <c r="L126" s="31" t="n">
        <v>0</v>
      </c>
      <c r="M126" s="25" t="s">
        <v>77</v>
      </c>
      <c r="N126" s="27" t="n">
        <v>752</v>
      </c>
    </row>
    <row r="127" customFormat="false" ht="15" hidden="false" customHeight="true" outlineLevel="0" collapsed="false">
      <c r="A127" s="19" t="s">
        <v>335</v>
      </c>
      <c r="B127" s="19" t="s">
        <v>336</v>
      </c>
      <c r="C127" s="20" t="s">
        <v>84</v>
      </c>
      <c r="D127" s="21" t="n">
        <v>3087000</v>
      </c>
      <c r="E127" s="21" t="n">
        <v>0.05</v>
      </c>
      <c r="F127" s="22" t="n">
        <v>0.1846</v>
      </c>
      <c r="G127" s="20" t="n">
        <v>12</v>
      </c>
      <c r="H127" s="21" t="n">
        <v>283692.38</v>
      </c>
      <c r="I127" s="23" t="n">
        <v>44196</v>
      </c>
      <c r="J127" s="23" t="n">
        <v>44556</v>
      </c>
      <c r="K127" s="20" t="s">
        <v>81</v>
      </c>
      <c r="L127" s="24" t="n">
        <v>0</v>
      </c>
      <c r="M127" s="25" t="s">
        <v>77</v>
      </c>
      <c r="N127" s="20" t="n">
        <v>815</v>
      </c>
    </row>
    <row r="128" customFormat="false" ht="15" hidden="false" customHeight="true" outlineLevel="0" collapsed="false">
      <c r="A128" s="26" t="s">
        <v>337</v>
      </c>
      <c r="B128" s="26" t="s">
        <v>338</v>
      </c>
      <c r="C128" s="27" t="s">
        <v>99</v>
      </c>
      <c r="D128" s="28" t="n">
        <v>1788000</v>
      </c>
      <c r="E128" s="28" t="n">
        <v>664205.45</v>
      </c>
      <c r="F128" s="29" t="n">
        <v>0.1131</v>
      </c>
      <c r="G128" s="27" t="n">
        <v>36</v>
      </c>
      <c r="H128" s="28" t="n">
        <v>58799.66</v>
      </c>
      <c r="I128" s="30" t="n">
        <v>45420</v>
      </c>
      <c r="J128" s="30" t="n">
        <v>46500</v>
      </c>
      <c r="K128" s="27" t="s">
        <v>94</v>
      </c>
      <c r="L128" s="31" t="n">
        <v>0</v>
      </c>
      <c r="M128" s="25" t="s">
        <v>77</v>
      </c>
      <c r="N128" s="27" t="n">
        <v>646</v>
      </c>
    </row>
    <row r="129" customFormat="false" ht="15" hidden="false" customHeight="true" outlineLevel="0" collapsed="false">
      <c r="A129" s="19" t="s">
        <v>339</v>
      </c>
      <c r="B129" s="19" t="s">
        <v>340</v>
      </c>
      <c r="C129" s="20" t="s">
        <v>99</v>
      </c>
      <c r="D129" s="21" t="n">
        <v>1912000</v>
      </c>
      <c r="E129" s="21" t="n">
        <v>0</v>
      </c>
      <c r="F129" s="22" t="n">
        <v>0.1553</v>
      </c>
      <c r="G129" s="20" t="n">
        <v>36</v>
      </c>
      <c r="H129" s="21" t="n">
        <v>66777.43</v>
      </c>
      <c r="I129" s="23" t="n">
        <v>44616</v>
      </c>
      <c r="J129" s="23" t="n">
        <v>45696</v>
      </c>
      <c r="K129" s="20" t="s">
        <v>81</v>
      </c>
      <c r="L129" s="24" t="n">
        <v>0</v>
      </c>
      <c r="M129" s="25" t="s">
        <v>77</v>
      </c>
      <c r="N129" s="20" t="n">
        <v>752</v>
      </c>
    </row>
    <row r="130" customFormat="false" ht="15" hidden="false" customHeight="true" outlineLevel="0" collapsed="false">
      <c r="A130" s="26" t="s">
        <v>341</v>
      </c>
      <c r="B130" s="26" t="s">
        <v>342</v>
      </c>
      <c r="C130" s="27" t="s">
        <v>75</v>
      </c>
      <c r="D130" s="28" t="n">
        <v>4423000</v>
      </c>
      <c r="E130" s="28" t="n">
        <v>0</v>
      </c>
      <c r="F130" s="29" t="n">
        <v>0.1091</v>
      </c>
      <c r="G130" s="27" t="n">
        <v>12</v>
      </c>
      <c r="H130" s="28" t="n">
        <v>390726.42</v>
      </c>
      <c r="I130" s="30" t="n">
        <v>43435</v>
      </c>
      <c r="J130" s="30" t="n">
        <v>43795</v>
      </c>
      <c r="K130" s="27" t="s">
        <v>81</v>
      </c>
      <c r="L130" s="31" t="n">
        <v>0</v>
      </c>
      <c r="M130" s="25" t="s">
        <v>77</v>
      </c>
      <c r="N130" s="27" t="n">
        <v>723</v>
      </c>
    </row>
    <row r="131" customFormat="false" ht="15" hidden="false" customHeight="true" outlineLevel="0" collapsed="false">
      <c r="A131" s="19" t="s">
        <v>343</v>
      </c>
      <c r="B131" s="19" t="s">
        <v>344</v>
      </c>
      <c r="C131" s="20" t="s">
        <v>91</v>
      </c>
      <c r="D131" s="21" t="n">
        <v>613000</v>
      </c>
      <c r="E131" s="21" t="n">
        <v>312050.63</v>
      </c>
      <c r="F131" s="22" t="n">
        <v>0.1516</v>
      </c>
      <c r="G131" s="20" t="n">
        <v>60</v>
      </c>
      <c r="H131" s="21" t="n">
        <v>14634.76</v>
      </c>
      <c r="I131" s="23" t="n">
        <v>45094</v>
      </c>
      <c r="J131" s="23" t="n">
        <v>46894</v>
      </c>
      <c r="K131" s="20" t="s">
        <v>76</v>
      </c>
      <c r="L131" s="24" t="n">
        <v>0</v>
      </c>
      <c r="M131" s="25" t="s">
        <v>77</v>
      </c>
      <c r="N131" s="20" t="n">
        <v>650</v>
      </c>
    </row>
    <row r="132" customFormat="false" ht="15" hidden="false" customHeight="true" outlineLevel="0" collapsed="false">
      <c r="A132" s="26" t="s">
        <v>345</v>
      </c>
      <c r="B132" s="26" t="s">
        <v>346</v>
      </c>
      <c r="C132" s="27" t="s">
        <v>99</v>
      </c>
      <c r="D132" s="28" t="n">
        <v>321000</v>
      </c>
      <c r="E132" s="28" t="n">
        <v>0.24</v>
      </c>
      <c r="F132" s="29" t="n">
        <v>0.1167</v>
      </c>
      <c r="G132" s="27" t="n">
        <v>48</v>
      </c>
      <c r="H132" s="28" t="n">
        <v>8401.24</v>
      </c>
      <c r="I132" s="30" t="n">
        <v>43663</v>
      </c>
      <c r="J132" s="30" t="n">
        <v>45103</v>
      </c>
      <c r="K132" s="27" t="s">
        <v>81</v>
      </c>
      <c r="L132" s="31" t="n">
        <v>0</v>
      </c>
      <c r="M132" s="25" t="s">
        <v>77</v>
      </c>
      <c r="N132" s="27" t="n">
        <v>802</v>
      </c>
    </row>
    <row r="133" customFormat="false" ht="15" hidden="false" customHeight="true" outlineLevel="0" collapsed="false">
      <c r="A133" s="19" t="s">
        <v>347</v>
      </c>
      <c r="B133" s="19" t="s">
        <v>348</v>
      </c>
      <c r="C133" s="20" t="s">
        <v>84</v>
      </c>
      <c r="D133" s="21" t="n">
        <v>3533000</v>
      </c>
      <c r="E133" s="21" t="n">
        <v>0.74</v>
      </c>
      <c r="F133" s="22" t="n">
        <v>0.1625</v>
      </c>
      <c r="G133" s="20" t="n">
        <v>84</v>
      </c>
      <c r="H133" s="21" t="n">
        <v>70676.65</v>
      </c>
      <c r="I133" s="23" t="n">
        <v>43396</v>
      </c>
      <c r="J133" s="23" t="n">
        <v>45916</v>
      </c>
      <c r="K133" s="20" t="s">
        <v>81</v>
      </c>
      <c r="L133" s="24" t="n">
        <v>0</v>
      </c>
      <c r="M133" s="25" t="s">
        <v>77</v>
      </c>
      <c r="N133" s="20" t="n">
        <v>705</v>
      </c>
    </row>
    <row r="134" customFormat="false" ht="15" hidden="false" customHeight="true" outlineLevel="0" collapsed="false">
      <c r="A134" s="26" t="s">
        <v>349</v>
      </c>
      <c r="B134" s="26" t="s">
        <v>350</v>
      </c>
      <c r="C134" s="27" t="s">
        <v>91</v>
      </c>
      <c r="D134" s="28" t="n">
        <v>435000</v>
      </c>
      <c r="E134" s="28" t="n">
        <v>389529.12</v>
      </c>
      <c r="F134" s="29" t="n">
        <v>0.1335</v>
      </c>
      <c r="G134" s="27" t="n">
        <v>120</v>
      </c>
      <c r="H134" s="28" t="n">
        <v>6585.13</v>
      </c>
      <c r="I134" s="30" t="n">
        <v>45449</v>
      </c>
      <c r="J134" s="30" t="n">
        <v>49049</v>
      </c>
      <c r="K134" s="27" t="s">
        <v>81</v>
      </c>
      <c r="L134" s="31" t="n">
        <v>0</v>
      </c>
      <c r="M134" s="25" t="s">
        <v>77</v>
      </c>
      <c r="N134" s="27" t="n">
        <v>739</v>
      </c>
    </row>
    <row r="135" customFormat="false" ht="15" hidden="false" customHeight="true" outlineLevel="0" collapsed="false">
      <c r="A135" s="19" t="s">
        <v>351</v>
      </c>
      <c r="B135" s="19" t="s">
        <v>352</v>
      </c>
      <c r="C135" s="20" t="s">
        <v>91</v>
      </c>
      <c r="D135" s="21" t="n">
        <v>4741000</v>
      </c>
      <c r="E135" s="21" t="n">
        <v>0.48</v>
      </c>
      <c r="F135" s="22" t="n">
        <v>0.1563</v>
      </c>
      <c r="G135" s="20" t="n">
        <v>84</v>
      </c>
      <c r="H135" s="21" t="n">
        <v>93169.7</v>
      </c>
      <c r="I135" s="23" t="n">
        <v>43461</v>
      </c>
      <c r="J135" s="23" t="n">
        <v>45981</v>
      </c>
      <c r="K135" s="20" t="s">
        <v>81</v>
      </c>
      <c r="L135" s="24" t="n">
        <v>0</v>
      </c>
      <c r="M135" s="25" t="s">
        <v>77</v>
      </c>
      <c r="N135" s="20" t="n">
        <v>718</v>
      </c>
    </row>
    <row r="136" customFormat="false" ht="15" hidden="false" customHeight="true" outlineLevel="0" collapsed="false">
      <c r="A136" s="26" t="s">
        <v>353</v>
      </c>
      <c r="B136" s="26" t="s">
        <v>354</v>
      </c>
      <c r="C136" s="27" t="s">
        <v>91</v>
      </c>
      <c r="D136" s="28" t="n">
        <v>439000</v>
      </c>
      <c r="E136" s="28" t="n">
        <v>117974.18</v>
      </c>
      <c r="F136" s="29" t="n">
        <v>0.2199</v>
      </c>
      <c r="G136" s="27" t="n">
        <v>84</v>
      </c>
      <c r="H136" s="28" t="n">
        <v>10281.28</v>
      </c>
      <c r="I136" s="30" t="n">
        <v>44008</v>
      </c>
      <c r="J136" s="30" t="n">
        <v>46528</v>
      </c>
      <c r="K136" s="27" t="s">
        <v>81</v>
      </c>
      <c r="L136" s="31" t="n">
        <v>0</v>
      </c>
      <c r="M136" s="25" t="s">
        <v>77</v>
      </c>
      <c r="N136" s="27" t="n">
        <v>659</v>
      </c>
    </row>
    <row r="137" customFormat="false" ht="15" hidden="false" customHeight="true" outlineLevel="0" collapsed="false">
      <c r="A137" s="19" t="s">
        <v>355</v>
      </c>
      <c r="B137" s="19" t="s">
        <v>356</v>
      </c>
      <c r="C137" s="20" t="s">
        <v>80</v>
      </c>
      <c r="D137" s="21" t="n">
        <v>1779000</v>
      </c>
      <c r="E137" s="21" t="n">
        <v>0</v>
      </c>
      <c r="F137" s="22" t="n">
        <v>0.1977</v>
      </c>
      <c r="G137" s="20" t="n">
        <v>36</v>
      </c>
      <c r="H137" s="21" t="n">
        <v>65905.72</v>
      </c>
      <c r="I137" s="23" t="n">
        <v>44068</v>
      </c>
      <c r="J137" s="23" t="n">
        <v>45148</v>
      </c>
      <c r="K137" s="20" t="s">
        <v>81</v>
      </c>
      <c r="L137" s="37" t="n">
        <v>1</v>
      </c>
      <c r="M137" s="36" t="s">
        <v>286</v>
      </c>
      <c r="N137" s="20" t="n">
        <v>496</v>
      </c>
    </row>
    <row r="138" customFormat="false" ht="15" hidden="false" customHeight="true" outlineLevel="0" collapsed="false">
      <c r="A138" s="26" t="s">
        <v>357</v>
      </c>
      <c r="B138" s="26" t="s">
        <v>358</v>
      </c>
      <c r="C138" s="27" t="s">
        <v>75</v>
      </c>
      <c r="D138" s="28" t="n">
        <v>3813000</v>
      </c>
      <c r="E138" s="28" t="n">
        <v>271871.76</v>
      </c>
      <c r="F138" s="29" t="n">
        <v>0.1866</v>
      </c>
      <c r="G138" s="27" t="n">
        <v>36</v>
      </c>
      <c r="H138" s="28" t="n">
        <v>139114.81</v>
      </c>
      <c r="I138" s="30" t="n">
        <v>45124</v>
      </c>
      <c r="J138" s="30" t="n">
        <v>46204</v>
      </c>
      <c r="K138" s="27" t="s">
        <v>81</v>
      </c>
      <c r="L138" s="31" t="n">
        <v>0</v>
      </c>
      <c r="M138" s="25" t="s">
        <v>77</v>
      </c>
      <c r="N138" s="27" t="n">
        <v>659</v>
      </c>
    </row>
    <row r="139" customFormat="false" ht="15" hidden="false" customHeight="true" outlineLevel="0" collapsed="false">
      <c r="A139" s="19" t="s">
        <v>359</v>
      </c>
      <c r="B139" s="19" t="s">
        <v>360</v>
      </c>
      <c r="C139" s="20" t="s">
        <v>75</v>
      </c>
      <c r="D139" s="21" t="n">
        <v>4933000</v>
      </c>
      <c r="E139" s="21" t="n">
        <v>267302.35</v>
      </c>
      <c r="F139" s="22" t="n">
        <v>0.1351</v>
      </c>
      <c r="G139" s="20" t="n">
        <v>84</v>
      </c>
      <c r="H139" s="21" t="n">
        <v>91114.35</v>
      </c>
      <c r="I139" s="23" t="n">
        <v>43719</v>
      </c>
      <c r="J139" s="23" t="n">
        <v>46239</v>
      </c>
      <c r="K139" s="20" t="s">
        <v>81</v>
      </c>
      <c r="L139" s="24" t="n">
        <v>0</v>
      </c>
      <c r="M139" s="25" t="s">
        <v>77</v>
      </c>
      <c r="N139" s="20" t="n">
        <v>754</v>
      </c>
    </row>
    <row r="140" customFormat="false" ht="15" hidden="false" customHeight="true" outlineLevel="0" collapsed="false">
      <c r="A140" s="26" t="s">
        <v>361</v>
      </c>
      <c r="B140" s="26" t="s">
        <v>362</v>
      </c>
      <c r="C140" s="27" t="s">
        <v>84</v>
      </c>
      <c r="D140" s="28" t="n">
        <v>2978000</v>
      </c>
      <c r="E140" s="28" t="n">
        <v>0</v>
      </c>
      <c r="F140" s="29" t="n">
        <v>0.1396</v>
      </c>
      <c r="G140" s="27" t="n">
        <v>24</v>
      </c>
      <c r="H140" s="28" t="n">
        <v>142926.1</v>
      </c>
      <c r="I140" s="30" t="n">
        <v>44372</v>
      </c>
      <c r="J140" s="30" t="n">
        <v>45092</v>
      </c>
      <c r="K140" s="27" t="s">
        <v>81</v>
      </c>
      <c r="L140" s="31" t="n">
        <v>0</v>
      </c>
      <c r="M140" s="25" t="s">
        <v>77</v>
      </c>
      <c r="N140" s="27" t="n">
        <v>592</v>
      </c>
    </row>
    <row r="141" customFormat="false" ht="15" hidden="false" customHeight="true" outlineLevel="0" collapsed="false">
      <c r="A141" s="19" t="s">
        <v>363</v>
      </c>
      <c r="B141" s="19" t="s">
        <v>364</v>
      </c>
      <c r="C141" s="20" t="s">
        <v>80</v>
      </c>
      <c r="D141" s="21" t="n">
        <v>3094000</v>
      </c>
      <c r="E141" s="21" t="n">
        <v>2968974.83</v>
      </c>
      <c r="F141" s="22" t="n">
        <v>0.1636</v>
      </c>
      <c r="G141" s="20" t="n">
        <v>180</v>
      </c>
      <c r="H141" s="21" t="n">
        <v>46220.55</v>
      </c>
      <c r="I141" s="23" t="n">
        <v>45371</v>
      </c>
      <c r="J141" s="23" t="n">
        <v>50771</v>
      </c>
      <c r="K141" s="20" t="s">
        <v>94</v>
      </c>
      <c r="L141" s="24" t="n">
        <v>0</v>
      </c>
      <c r="M141" s="25" t="s">
        <v>77</v>
      </c>
      <c r="N141" s="20" t="n">
        <v>773</v>
      </c>
    </row>
    <row r="142" customFormat="false" ht="15" hidden="false" customHeight="true" outlineLevel="0" collapsed="false">
      <c r="A142" s="26" t="s">
        <v>365</v>
      </c>
      <c r="B142" s="26" t="s">
        <v>366</v>
      </c>
      <c r="C142" s="27" t="s">
        <v>75</v>
      </c>
      <c r="D142" s="28" t="n">
        <v>1642000</v>
      </c>
      <c r="E142" s="28" t="n">
        <v>0</v>
      </c>
      <c r="F142" s="29" t="n">
        <v>0.1587</v>
      </c>
      <c r="G142" s="27" t="n">
        <v>36</v>
      </c>
      <c r="H142" s="28" t="n">
        <v>57622.52</v>
      </c>
      <c r="I142" s="30" t="n">
        <v>43354</v>
      </c>
      <c r="J142" s="30" t="n">
        <v>44434</v>
      </c>
      <c r="K142" s="27" t="s">
        <v>81</v>
      </c>
      <c r="L142" s="38" t="n">
        <v>1</v>
      </c>
      <c r="M142" s="32" t="s">
        <v>104</v>
      </c>
      <c r="N142" s="27" t="n">
        <v>551</v>
      </c>
    </row>
    <row r="143" customFormat="false" ht="15" hidden="false" customHeight="true" outlineLevel="0" collapsed="false">
      <c r="A143" s="19" t="s">
        <v>367</v>
      </c>
      <c r="B143" s="19" t="s">
        <v>368</v>
      </c>
      <c r="C143" s="20" t="s">
        <v>80</v>
      </c>
      <c r="D143" s="21" t="n">
        <v>3553000</v>
      </c>
      <c r="E143" s="21" t="n">
        <v>3527401.02</v>
      </c>
      <c r="F143" s="22" t="n">
        <v>0.2386</v>
      </c>
      <c r="G143" s="20" t="n">
        <v>240</v>
      </c>
      <c r="H143" s="21" t="n">
        <v>71277.65</v>
      </c>
      <c r="I143" s="23" t="n">
        <v>45242</v>
      </c>
      <c r="J143" s="23" t="n">
        <v>52442</v>
      </c>
      <c r="K143" s="20" t="s">
        <v>76</v>
      </c>
      <c r="L143" s="24" t="n">
        <v>0</v>
      </c>
      <c r="M143" s="25" t="s">
        <v>77</v>
      </c>
      <c r="N143" s="20" t="n">
        <v>656</v>
      </c>
    </row>
    <row r="144" customFormat="false" ht="15" hidden="false" customHeight="true" outlineLevel="0" collapsed="false">
      <c r="A144" s="26" t="s">
        <v>369</v>
      </c>
      <c r="B144" s="26" t="s">
        <v>370</v>
      </c>
      <c r="C144" s="27" t="s">
        <v>91</v>
      </c>
      <c r="D144" s="28" t="n">
        <v>3884000</v>
      </c>
      <c r="E144" s="28" t="n">
        <v>0.05</v>
      </c>
      <c r="F144" s="29" t="n">
        <v>0.1902</v>
      </c>
      <c r="G144" s="27" t="n">
        <v>12</v>
      </c>
      <c r="H144" s="28" t="n">
        <v>357973.22</v>
      </c>
      <c r="I144" s="30" t="n">
        <v>44471</v>
      </c>
      <c r="J144" s="30" t="n">
        <v>44831</v>
      </c>
      <c r="K144" s="27" t="s">
        <v>81</v>
      </c>
      <c r="L144" s="31" t="n">
        <v>0</v>
      </c>
      <c r="M144" s="25" t="s">
        <v>77</v>
      </c>
      <c r="N144" s="27" t="n">
        <v>652</v>
      </c>
    </row>
    <row r="145" customFormat="false" ht="15" hidden="false" customHeight="true" outlineLevel="0" collapsed="false">
      <c r="A145" s="19" t="s">
        <v>371</v>
      </c>
      <c r="B145" s="19" t="s">
        <v>372</v>
      </c>
      <c r="C145" s="20" t="s">
        <v>91</v>
      </c>
      <c r="D145" s="21" t="n">
        <v>4536000</v>
      </c>
      <c r="E145" s="21" t="n">
        <v>0.03</v>
      </c>
      <c r="F145" s="22" t="n">
        <v>0.2204</v>
      </c>
      <c r="G145" s="20" t="n">
        <v>84</v>
      </c>
      <c r="H145" s="21" t="n">
        <v>106372.15</v>
      </c>
      <c r="I145" s="23" t="n">
        <v>43434</v>
      </c>
      <c r="J145" s="23" t="n">
        <v>45954</v>
      </c>
      <c r="K145" s="20" t="s">
        <v>76</v>
      </c>
      <c r="L145" s="24" t="n">
        <v>0</v>
      </c>
      <c r="M145" s="25" t="s">
        <v>77</v>
      </c>
      <c r="N145" s="20" t="n">
        <v>650</v>
      </c>
    </row>
    <row r="146" customFormat="false" ht="15" hidden="false" customHeight="true" outlineLevel="0" collapsed="false">
      <c r="A146" s="26" t="s">
        <v>373</v>
      </c>
      <c r="B146" s="26" t="s">
        <v>374</v>
      </c>
      <c r="C146" s="27" t="s">
        <v>99</v>
      </c>
      <c r="D146" s="28" t="n">
        <v>3507000</v>
      </c>
      <c r="E146" s="28" t="n">
        <v>0.11</v>
      </c>
      <c r="F146" s="29" t="n">
        <v>0.1458</v>
      </c>
      <c r="G146" s="27" t="n">
        <v>24</v>
      </c>
      <c r="H146" s="28" t="n">
        <v>169343.69</v>
      </c>
      <c r="I146" s="30" t="n">
        <v>44369</v>
      </c>
      <c r="J146" s="30" t="n">
        <v>45089</v>
      </c>
      <c r="K146" s="27" t="s">
        <v>76</v>
      </c>
      <c r="L146" s="31" t="n">
        <v>0</v>
      </c>
      <c r="M146" s="25" t="s">
        <v>77</v>
      </c>
      <c r="N146" s="27" t="n">
        <v>554</v>
      </c>
    </row>
    <row r="147" customFormat="false" ht="15" hidden="false" customHeight="true" outlineLevel="0" collapsed="false">
      <c r="A147" s="19" t="s">
        <v>375</v>
      </c>
      <c r="B147" s="19" t="s">
        <v>376</v>
      </c>
      <c r="C147" s="20" t="s">
        <v>75</v>
      </c>
      <c r="D147" s="21" t="n">
        <v>3443000</v>
      </c>
      <c r="E147" s="21" t="n">
        <v>2991666.32</v>
      </c>
      <c r="F147" s="22" t="n">
        <v>0.1666</v>
      </c>
      <c r="G147" s="20" t="n">
        <v>120</v>
      </c>
      <c r="H147" s="21" t="n">
        <v>59098.81</v>
      </c>
      <c r="I147" s="23" t="n">
        <v>45183</v>
      </c>
      <c r="J147" s="23" t="n">
        <v>48783</v>
      </c>
      <c r="K147" s="20" t="s">
        <v>81</v>
      </c>
      <c r="L147" s="37" t="n">
        <v>1</v>
      </c>
      <c r="M147" s="32" t="s">
        <v>104</v>
      </c>
      <c r="N147" s="20" t="n">
        <v>732</v>
      </c>
    </row>
    <row r="148" customFormat="false" ht="15" hidden="false" customHeight="true" outlineLevel="0" collapsed="false">
      <c r="A148" s="26" t="s">
        <v>377</v>
      </c>
      <c r="B148" s="26" t="s">
        <v>378</v>
      </c>
      <c r="C148" s="27" t="s">
        <v>99</v>
      </c>
      <c r="D148" s="28" t="n">
        <v>1742000</v>
      </c>
      <c r="E148" s="28" t="n">
        <v>0</v>
      </c>
      <c r="F148" s="29" t="n">
        <v>0.2038</v>
      </c>
      <c r="G148" s="27" t="n">
        <v>48</v>
      </c>
      <c r="H148" s="28" t="n">
        <v>53363.02</v>
      </c>
      <c r="I148" s="30" t="n">
        <v>44028</v>
      </c>
      <c r="J148" s="30" t="n">
        <v>45468</v>
      </c>
      <c r="K148" s="27" t="s">
        <v>81</v>
      </c>
      <c r="L148" s="38" t="n">
        <v>1</v>
      </c>
      <c r="M148" s="32" t="s">
        <v>104</v>
      </c>
      <c r="N148" s="27" t="n">
        <v>554</v>
      </c>
    </row>
    <row r="149" customFormat="false" ht="15" hidden="false" customHeight="true" outlineLevel="0" collapsed="false">
      <c r="A149" s="19" t="s">
        <v>379</v>
      </c>
      <c r="B149" s="19" t="s">
        <v>380</v>
      </c>
      <c r="C149" s="20" t="s">
        <v>91</v>
      </c>
      <c r="D149" s="21" t="n">
        <v>2656000</v>
      </c>
      <c r="E149" s="21" t="n">
        <v>0.14</v>
      </c>
      <c r="F149" s="22" t="n">
        <v>0.1876</v>
      </c>
      <c r="G149" s="20" t="n">
        <v>36</v>
      </c>
      <c r="H149" s="21" t="n">
        <v>97036.4</v>
      </c>
      <c r="I149" s="23" t="n">
        <v>44644</v>
      </c>
      <c r="J149" s="23" t="n">
        <v>45724</v>
      </c>
      <c r="K149" s="20" t="s">
        <v>81</v>
      </c>
      <c r="L149" s="24" t="n">
        <v>0</v>
      </c>
      <c r="M149" s="25" t="s">
        <v>77</v>
      </c>
      <c r="N149" s="20" t="n">
        <v>543</v>
      </c>
    </row>
    <row r="150" customFormat="false" ht="15" hidden="false" customHeight="true" outlineLevel="0" collapsed="false">
      <c r="A150" s="26" t="s">
        <v>381</v>
      </c>
      <c r="B150" s="26" t="s">
        <v>382</v>
      </c>
      <c r="C150" s="27" t="s">
        <v>84</v>
      </c>
      <c r="D150" s="28" t="n">
        <v>869000</v>
      </c>
      <c r="E150" s="28" t="n">
        <v>642081.37</v>
      </c>
      <c r="F150" s="29" t="n">
        <v>0.1528</v>
      </c>
      <c r="G150" s="27" t="n">
        <v>120</v>
      </c>
      <c r="H150" s="28" t="n">
        <v>14169.39</v>
      </c>
      <c r="I150" s="30" t="n">
        <v>44593</v>
      </c>
      <c r="J150" s="30" t="n">
        <v>48193</v>
      </c>
      <c r="K150" s="27" t="s">
        <v>94</v>
      </c>
      <c r="L150" s="31" t="n">
        <v>0</v>
      </c>
      <c r="M150" s="35" t="s">
        <v>269</v>
      </c>
      <c r="N150" s="27" t="n">
        <v>637</v>
      </c>
    </row>
    <row r="151" customFormat="false" ht="15" hidden="false" customHeight="true" outlineLevel="0" collapsed="false">
      <c r="A151" s="19" t="s">
        <v>383</v>
      </c>
      <c r="B151" s="19" t="s">
        <v>384</v>
      </c>
      <c r="C151" s="20" t="s">
        <v>91</v>
      </c>
      <c r="D151" s="21" t="n">
        <v>2693000</v>
      </c>
      <c r="E151" s="21" t="n">
        <v>2140951.55</v>
      </c>
      <c r="F151" s="22" t="n">
        <v>0.133</v>
      </c>
      <c r="G151" s="20" t="n">
        <v>180</v>
      </c>
      <c r="H151" s="21" t="n">
        <v>34606.29</v>
      </c>
      <c r="I151" s="23" t="n">
        <v>43895</v>
      </c>
      <c r="J151" s="23" t="n">
        <v>49295</v>
      </c>
      <c r="K151" s="20" t="s">
        <v>81</v>
      </c>
      <c r="L151" s="24" t="n">
        <v>0</v>
      </c>
      <c r="M151" s="25" t="s">
        <v>77</v>
      </c>
      <c r="N151" s="20" t="n">
        <v>669</v>
      </c>
    </row>
    <row r="152" customFormat="false" ht="15" hidden="false" customHeight="true" outlineLevel="0" collapsed="false">
      <c r="A152" s="26" t="s">
        <v>385</v>
      </c>
      <c r="B152" s="26" t="s">
        <v>386</v>
      </c>
      <c r="C152" s="27" t="s">
        <v>91</v>
      </c>
      <c r="D152" s="28" t="n">
        <v>1445000</v>
      </c>
      <c r="E152" s="28" t="n">
        <v>1384741.69</v>
      </c>
      <c r="F152" s="29" t="n">
        <v>0.1442</v>
      </c>
      <c r="G152" s="27" t="n">
        <v>240</v>
      </c>
      <c r="H152" s="28" t="n">
        <v>18411.32</v>
      </c>
      <c r="I152" s="30" t="n">
        <v>44815</v>
      </c>
      <c r="J152" s="30" t="n">
        <v>52015</v>
      </c>
      <c r="K152" s="27" t="s">
        <v>81</v>
      </c>
      <c r="L152" s="31" t="n">
        <v>0</v>
      </c>
      <c r="M152" s="25" t="s">
        <v>77</v>
      </c>
      <c r="N152" s="27" t="n">
        <v>582</v>
      </c>
    </row>
    <row r="153" customFormat="false" ht="15" hidden="false" customHeight="true" outlineLevel="0" collapsed="false">
      <c r="A153" s="19" t="s">
        <v>387</v>
      </c>
      <c r="B153" s="19" t="s">
        <v>388</v>
      </c>
      <c r="C153" s="20" t="s">
        <v>99</v>
      </c>
      <c r="D153" s="21" t="n">
        <v>1887000</v>
      </c>
      <c r="E153" s="21" t="n">
        <v>1806300.61</v>
      </c>
      <c r="F153" s="22" t="n">
        <v>0.2298</v>
      </c>
      <c r="G153" s="20" t="n">
        <v>240</v>
      </c>
      <c r="H153" s="21" t="n">
        <v>36520.99</v>
      </c>
      <c r="I153" s="23" t="n">
        <v>43611</v>
      </c>
      <c r="J153" s="23" t="n">
        <v>50811</v>
      </c>
      <c r="K153" s="20" t="s">
        <v>81</v>
      </c>
      <c r="L153" s="24" t="n">
        <v>0</v>
      </c>
      <c r="M153" s="25" t="s">
        <v>77</v>
      </c>
      <c r="N153" s="20" t="n">
        <v>756</v>
      </c>
    </row>
    <row r="154" customFormat="false" ht="15" hidden="false" customHeight="true" outlineLevel="0" collapsed="false">
      <c r="A154" s="26" t="s">
        <v>389</v>
      </c>
      <c r="B154" s="26" t="s">
        <v>390</v>
      </c>
      <c r="C154" s="27" t="s">
        <v>99</v>
      </c>
      <c r="D154" s="28" t="n">
        <v>779000</v>
      </c>
      <c r="E154" s="28" t="n">
        <v>164747.68</v>
      </c>
      <c r="F154" s="29" t="n">
        <v>0.1528</v>
      </c>
      <c r="G154" s="27" t="n">
        <v>48</v>
      </c>
      <c r="H154" s="28" t="n">
        <v>21790.88</v>
      </c>
      <c r="I154" s="30" t="n">
        <v>44948</v>
      </c>
      <c r="J154" s="30" t="n">
        <v>46388</v>
      </c>
      <c r="K154" s="27" t="s">
        <v>81</v>
      </c>
      <c r="L154" s="31" t="n">
        <v>0</v>
      </c>
      <c r="M154" s="25" t="s">
        <v>77</v>
      </c>
      <c r="N154" s="27" t="n">
        <v>699</v>
      </c>
    </row>
    <row r="155" customFormat="false" ht="15" hidden="false" customHeight="true" outlineLevel="0" collapsed="false">
      <c r="A155" s="19" t="s">
        <v>391</v>
      </c>
      <c r="B155" s="19" t="s">
        <v>392</v>
      </c>
      <c r="C155" s="20" t="s">
        <v>91</v>
      </c>
      <c r="D155" s="21" t="n">
        <v>1906000</v>
      </c>
      <c r="E155" s="21" t="n">
        <v>0</v>
      </c>
      <c r="F155" s="22" t="n">
        <v>0.0894</v>
      </c>
      <c r="G155" s="20" t="n">
        <v>24</v>
      </c>
      <c r="H155" s="21" t="n">
        <v>87022.66</v>
      </c>
      <c r="I155" s="23" t="n">
        <v>44474</v>
      </c>
      <c r="J155" s="23" t="n">
        <v>45194</v>
      </c>
      <c r="K155" s="20" t="s">
        <v>81</v>
      </c>
      <c r="L155" s="24" t="n">
        <v>0</v>
      </c>
      <c r="M155" s="25" t="s">
        <v>77</v>
      </c>
      <c r="N155" s="20" t="n">
        <v>693</v>
      </c>
    </row>
    <row r="156" customFormat="false" ht="15" hidden="false" customHeight="true" outlineLevel="0" collapsed="false">
      <c r="A156" s="26" t="s">
        <v>393</v>
      </c>
      <c r="B156" s="26" t="s">
        <v>394</v>
      </c>
      <c r="C156" s="27" t="s">
        <v>75</v>
      </c>
      <c r="D156" s="28" t="n">
        <v>737000</v>
      </c>
      <c r="E156" s="28" t="n">
        <v>561030.4</v>
      </c>
      <c r="F156" s="29" t="n">
        <v>0.1944</v>
      </c>
      <c r="G156" s="27" t="n">
        <v>180</v>
      </c>
      <c r="H156" s="28" t="n">
        <v>12640.04</v>
      </c>
      <c r="I156" s="30" t="n">
        <v>43122</v>
      </c>
      <c r="J156" s="30" t="n">
        <v>48522</v>
      </c>
      <c r="K156" s="27" t="s">
        <v>81</v>
      </c>
      <c r="L156" s="38" t="n">
        <v>1</v>
      </c>
      <c r="M156" s="36" t="s">
        <v>286</v>
      </c>
      <c r="N156" s="27" t="n">
        <v>850</v>
      </c>
    </row>
    <row r="157" customFormat="false" ht="15" hidden="false" customHeight="true" outlineLevel="0" collapsed="false">
      <c r="A157" s="19" t="s">
        <v>395</v>
      </c>
      <c r="B157" s="19" t="s">
        <v>396</v>
      </c>
      <c r="C157" s="20" t="s">
        <v>91</v>
      </c>
      <c r="D157" s="21" t="n">
        <v>600000</v>
      </c>
      <c r="E157" s="21" t="n">
        <v>0.1</v>
      </c>
      <c r="F157" s="22" t="n">
        <v>0.1297</v>
      </c>
      <c r="G157" s="20" t="n">
        <v>60</v>
      </c>
      <c r="H157" s="21" t="n">
        <v>13642.63</v>
      </c>
      <c r="I157" s="23" t="n">
        <v>43600</v>
      </c>
      <c r="J157" s="23" t="n">
        <v>45400</v>
      </c>
      <c r="K157" s="20" t="s">
        <v>81</v>
      </c>
      <c r="L157" s="24" t="n">
        <v>0</v>
      </c>
      <c r="M157" s="25" t="s">
        <v>77</v>
      </c>
      <c r="N157" s="20" t="n">
        <v>656</v>
      </c>
    </row>
    <row r="158" customFormat="false" ht="15" hidden="false" customHeight="true" outlineLevel="0" collapsed="false">
      <c r="A158" s="26" t="s">
        <v>397</v>
      </c>
      <c r="B158" s="26" t="s">
        <v>398</v>
      </c>
      <c r="C158" s="27" t="s">
        <v>91</v>
      </c>
      <c r="D158" s="28" t="n">
        <v>599000</v>
      </c>
      <c r="E158" s="28" t="n">
        <v>561979.96</v>
      </c>
      <c r="F158" s="29" t="n">
        <v>0.2253</v>
      </c>
      <c r="G158" s="27" t="n">
        <v>240</v>
      </c>
      <c r="H158" s="28" t="n">
        <v>11377.22</v>
      </c>
      <c r="I158" s="30" t="n">
        <v>43168</v>
      </c>
      <c r="J158" s="30" t="n">
        <v>50368</v>
      </c>
      <c r="K158" s="27" t="s">
        <v>94</v>
      </c>
      <c r="L158" s="31" t="n">
        <v>0</v>
      </c>
      <c r="M158" s="25" t="s">
        <v>77</v>
      </c>
      <c r="N158" s="27" t="n">
        <v>573</v>
      </c>
    </row>
    <row r="159" customFormat="false" ht="15" hidden="false" customHeight="true" outlineLevel="0" collapsed="false">
      <c r="A159" s="19" t="s">
        <v>399</v>
      </c>
      <c r="B159" s="19" t="s">
        <v>400</v>
      </c>
      <c r="C159" s="20" t="s">
        <v>91</v>
      </c>
      <c r="D159" s="21" t="n">
        <v>2875000</v>
      </c>
      <c r="E159" s="21" t="n">
        <v>0</v>
      </c>
      <c r="F159" s="22" t="n">
        <v>0.114</v>
      </c>
      <c r="G159" s="20" t="n">
        <v>24</v>
      </c>
      <c r="H159" s="21" t="n">
        <v>134532.08</v>
      </c>
      <c r="I159" s="23" t="n">
        <v>45245</v>
      </c>
      <c r="J159" s="23" t="n">
        <v>45965</v>
      </c>
      <c r="K159" s="20" t="s">
        <v>81</v>
      </c>
      <c r="L159" s="24" t="n">
        <v>0</v>
      </c>
      <c r="M159" s="25" t="s">
        <v>77</v>
      </c>
      <c r="N159" s="20" t="n">
        <v>744</v>
      </c>
    </row>
    <row r="160" customFormat="false" ht="15" hidden="false" customHeight="true" outlineLevel="0" collapsed="false">
      <c r="A160" s="26" t="s">
        <v>401</v>
      </c>
      <c r="B160" s="26" t="s">
        <v>402</v>
      </c>
      <c r="C160" s="27" t="s">
        <v>84</v>
      </c>
      <c r="D160" s="28" t="n">
        <v>2563000</v>
      </c>
      <c r="E160" s="28" t="n">
        <v>1607833.52</v>
      </c>
      <c r="F160" s="29" t="n">
        <v>0.0882</v>
      </c>
      <c r="G160" s="27" t="n">
        <v>180</v>
      </c>
      <c r="H160" s="28" t="n">
        <v>25721.93</v>
      </c>
      <c r="I160" s="30" t="n">
        <v>43279</v>
      </c>
      <c r="J160" s="30" t="n">
        <v>48679</v>
      </c>
      <c r="K160" s="27" t="s">
        <v>94</v>
      </c>
      <c r="L160" s="31" t="n">
        <v>0</v>
      </c>
      <c r="M160" s="25" t="s">
        <v>77</v>
      </c>
      <c r="N160" s="27" t="n">
        <v>670</v>
      </c>
    </row>
    <row r="161" customFormat="false" ht="15" hidden="false" customHeight="true" outlineLevel="0" collapsed="false">
      <c r="A161" s="19" t="s">
        <v>403</v>
      </c>
      <c r="B161" s="19" t="s">
        <v>404</v>
      </c>
      <c r="C161" s="20" t="s">
        <v>80</v>
      </c>
      <c r="D161" s="21" t="n">
        <v>3678000</v>
      </c>
      <c r="E161" s="21" t="n">
        <v>76656.67</v>
      </c>
      <c r="F161" s="22" t="n">
        <v>0.1824</v>
      </c>
      <c r="G161" s="20" t="n">
        <v>84</v>
      </c>
      <c r="H161" s="21" t="n">
        <v>77821.86</v>
      </c>
      <c r="I161" s="23" t="n">
        <v>43647</v>
      </c>
      <c r="J161" s="23" t="n">
        <v>46167</v>
      </c>
      <c r="K161" s="20" t="s">
        <v>81</v>
      </c>
      <c r="L161" s="24" t="n">
        <v>0</v>
      </c>
      <c r="M161" s="25" t="s">
        <v>77</v>
      </c>
      <c r="N161" s="20" t="n">
        <v>687</v>
      </c>
    </row>
    <row r="162" customFormat="false" ht="15" hidden="false" customHeight="true" outlineLevel="0" collapsed="false">
      <c r="A162" s="26" t="s">
        <v>405</v>
      </c>
      <c r="B162" s="26" t="s">
        <v>406</v>
      </c>
      <c r="C162" s="27" t="s">
        <v>80</v>
      </c>
      <c r="D162" s="28" t="n">
        <v>3907000</v>
      </c>
      <c r="E162" s="28" t="n">
        <v>3190170.84</v>
      </c>
      <c r="F162" s="29" t="n">
        <v>0.157</v>
      </c>
      <c r="G162" s="27" t="n">
        <v>180</v>
      </c>
      <c r="H162" s="28" t="n">
        <v>56567.04</v>
      </c>
      <c r="I162" s="30" t="n">
        <v>43847</v>
      </c>
      <c r="J162" s="30" t="n">
        <v>49247</v>
      </c>
      <c r="K162" s="27" t="s">
        <v>81</v>
      </c>
      <c r="L162" s="38" t="n">
        <v>1</v>
      </c>
      <c r="M162" s="32" t="s">
        <v>104</v>
      </c>
      <c r="N162" s="27" t="n">
        <v>598</v>
      </c>
    </row>
    <row r="163" customFormat="false" ht="15" hidden="false" customHeight="true" outlineLevel="0" collapsed="false">
      <c r="A163" s="19" t="s">
        <v>407</v>
      </c>
      <c r="B163" s="19" t="s">
        <v>408</v>
      </c>
      <c r="C163" s="20" t="s">
        <v>91</v>
      </c>
      <c r="D163" s="21" t="n">
        <v>257000</v>
      </c>
      <c r="E163" s="21" t="n">
        <v>253055.26</v>
      </c>
      <c r="F163" s="22" t="n">
        <v>0.2297</v>
      </c>
      <c r="G163" s="20" t="n">
        <v>240</v>
      </c>
      <c r="H163" s="21" t="n">
        <v>4971.92</v>
      </c>
      <c r="I163" s="23" t="n">
        <v>44732</v>
      </c>
      <c r="J163" s="23" t="n">
        <v>51932</v>
      </c>
      <c r="K163" s="20" t="s">
        <v>76</v>
      </c>
      <c r="L163" s="24" t="n">
        <v>0</v>
      </c>
      <c r="M163" s="25" t="s">
        <v>77</v>
      </c>
      <c r="N163" s="20" t="n">
        <v>721</v>
      </c>
    </row>
    <row r="164" customFormat="false" ht="15" hidden="false" customHeight="true" outlineLevel="0" collapsed="false">
      <c r="A164" s="26" t="s">
        <v>409</v>
      </c>
      <c r="B164" s="26" t="s">
        <v>410</v>
      </c>
      <c r="C164" s="27" t="s">
        <v>80</v>
      </c>
      <c r="D164" s="28" t="n">
        <v>1817000</v>
      </c>
      <c r="E164" s="28" t="n">
        <v>689235.5</v>
      </c>
      <c r="F164" s="29" t="n">
        <v>0.206</v>
      </c>
      <c r="G164" s="27" t="n">
        <v>84</v>
      </c>
      <c r="H164" s="28" t="n">
        <v>41007.66</v>
      </c>
      <c r="I164" s="30" t="n">
        <v>44220</v>
      </c>
      <c r="J164" s="30" t="n">
        <v>46740</v>
      </c>
      <c r="K164" s="27" t="s">
        <v>81</v>
      </c>
      <c r="L164" s="31" t="n">
        <v>0</v>
      </c>
      <c r="M164" s="25" t="s">
        <v>77</v>
      </c>
      <c r="N164" s="27" t="n">
        <v>684</v>
      </c>
    </row>
    <row r="165" customFormat="false" ht="15" hidden="false" customHeight="true" outlineLevel="0" collapsed="false">
      <c r="A165" s="19" t="s">
        <v>411</v>
      </c>
      <c r="B165" s="19" t="s">
        <v>412</v>
      </c>
      <c r="C165" s="20" t="s">
        <v>84</v>
      </c>
      <c r="D165" s="21" t="n">
        <v>4870000</v>
      </c>
      <c r="E165" s="21" t="n">
        <v>4399859.93</v>
      </c>
      <c r="F165" s="22" t="n">
        <v>0.1619</v>
      </c>
      <c r="G165" s="20" t="n">
        <v>180</v>
      </c>
      <c r="H165" s="21" t="n">
        <v>72171.9</v>
      </c>
      <c r="I165" s="23" t="n">
        <v>44605</v>
      </c>
      <c r="J165" s="23" t="n">
        <v>50005</v>
      </c>
      <c r="K165" s="20" t="s">
        <v>76</v>
      </c>
      <c r="L165" s="24" t="n">
        <v>0</v>
      </c>
      <c r="M165" s="25" t="s">
        <v>77</v>
      </c>
      <c r="N165" s="20" t="n">
        <v>732</v>
      </c>
    </row>
    <row r="166" customFormat="false" ht="15" hidden="false" customHeight="true" outlineLevel="0" collapsed="false">
      <c r="A166" s="26" t="s">
        <v>413</v>
      </c>
      <c r="B166" s="26" t="s">
        <v>414</v>
      </c>
      <c r="C166" s="27" t="s">
        <v>80</v>
      </c>
      <c r="D166" s="28" t="n">
        <v>3032000</v>
      </c>
      <c r="E166" s="28" t="n">
        <v>2944630.42</v>
      </c>
      <c r="F166" s="29" t="n">
        <v>0.2125</v>
      </c>
      <c r="G166" s="27" t="n">
        <v>240</v>
      </c>
      <c r="H166" s="28" t="n">
        <v>54498.5</v>
      </c>
      <c r="I166" s="30" t="n">
        <v>44304</v>
      </c>
      <c r="J166" s="30" t="n">
        <v>51504</v>
      </c>
      <c r="K166" s="27" t="s">
        <v>81</v>
      </c>
      <c r="L166" s="31" t="n">
        <v>0</v>
      </c>
      <c r="M166" s="25" t="s">
        <v>77</v>
      </c>
      <c r="N166" s="27" t="n">
        <v>621</v>
      </c>
    </row>
    <row r="167" customFormat="false" ht="15" hidden="false" customHeight="true" outlineLevel="0" collapsed="false">
      <c r="A167" s="19" t="s">
        <v>415</v>
      </c>
      <c r="B167" s="19" t="s">
        <v>416</v>
      </c>
      <c r="C167" s="20" t="s">
        <v>91</v>
      </c>
      <c r="D167" s="21" t="n">
        <v>3464000</v>
      </c>
      <c r="E167" s="21" t="n">
        <v>0</v>
      </c>
      <c r="F167" s="22" t="n">
        <v>0.1395</v>
      </c>
      <c r="G167" s="20" t="n">
        <v>12</v>
      </c>
      <c r="H167" s="21" t="n">
        <v>310941.09</v>
      </c>
      <c r="I167" s="23" t="n">
        <v>44545</v>
      </c>
      <c r="J167" s="23" t="n">
        <v>44905</v>
      </c>
      <c r="K167" s="20" t="s">
        <v>76</v>
      </c>
      <c r="L167" s="24" t="n">
        <v>0</v>
      </c>
      <c r="M167" s="25" t="s">
        <v>77</v>
      </c>
      <c r="N167" s="20" t="n">
        <v>602</v>
      </c>
    </row>
    <row r="168" customFormat="false" ht="15" hidden="false" customHeight="true" outlineLevel="0" collapsed="false">
      <c r="A168" s="26" t="s">
        <v>417</v>
      </c>
      <c r="B168" s="26" t="s">
        <v>418</v>
      </c>
      <c r="C168" s="27" t="s">
        <v>80</v>
      </c>
      <c r="D168" s="28" t="n">
        <v>3206000</v>
      </c>
      <c r="E168" s="28" t="n">
        <v>0</v>
      </c>
      <c r="F168" s="29" t="n">
        <v>0.1413</v>
      </c>
      <c r="G168" s="27" t="n">
        <v>36</v>
      </c>
      <c r="H168" s="28" t="n">
        <v>109776.02</v>
      </c>
      <c r="I168" s="30" t="n">
        <v>43228</v>
      </c>
      <c r="J168" s="30" t="n">
        <v>44308</v>
      </c>
      <c r="K168" s="27" t="s">
        <v>81</v>
      </c>
      <c r="L168" s="31" t="n">
        <v>0</v>
      </c>
      <c r="M168" s="25" t="s">
        <v>77</v>
      </c>
      <c r="N168" s="27" t="n">
        <v>619</v>
      </c>
    </row>
    <row r="169" customFormat="false" ht="15" hidden="false" customHeight="true" outlineLevel="0" collapsed="false">
      <c r="A169" s="19" t="s">
        <v>419</v>
      </c>
      <c r="B169" s="19" t="s">
        <v>420</v>
      </c>
      <c r="C169" s="20" t="s">
        <v>80</v>
      </c>
      <c r="D169" s="21" t="n">
        <v>1863000</v>
      </c>
      <c r="E169" s="21" t="n">
        <v>0.01</v>
      </c>
      <c r="F169" s="22" t="n">
        <v>0.1443</v>
      </c>
      <c r="G169" s="20" t="n">
        <v>12</v>
      </c>
      <c r="H169" s="21" t="n">
        <v>167650.56</v>
      </c>
      <c r="I169" s="23" t="n">
        <v>43729</v>
      </c>
      <c r="J169" s="23" t="n">
        <v>44089</v>
      </c>
      <c r="K169" s="20" t="s">
        <v>94</v>
      </c>
      <c r="L169" s="24" t="n">
        <v>0</v>
      </c>
      <c r="M169" s="25" t="s">
        <v>77</v>
      </c>
      <c r="N169" s="20" t="n">
        <v>796</v>
      </c>
    </row>
    <row r="170" customFormat="false" ht="15" hidden="false" customHeight="true" outlineLevel="0" collapsed="false">
      <c r="A170" s="26" t="s">
        <v>421</v>
      </c>
      <c r="B170" s="26" t="s">
        <v>422</v>
      </c>
      <c r="C170" s="27" t="s">
        <v>84</v>
      </c>
      <c r="D170" s="28" t="n">
        <v>2891000</v>
      </c>
      <c r="E170" s="28" t="n">
        <v>2034387.23</v>
      </c>
      <c r="F170" s="29" t="n">
        <v>0.1671</v>
      </c>
      <c r="G170" s="27" t="n">
        <v>120</v>
      </c>
      <c r="H170" s="28" t="n">
        <v>49714.9</v>
      </c>
      <c r="I170" s="30" t="n">
        <v>44388</v>
      </c>
      <c r="J170" s="30" t="n">
        <v>47988</v>
      </c>
      <c r="K170" s="27" t="s">
        <v>94</v>
      </c>
      <c r="L170" s="31" t="n">
        <v>0</v>
      </c>
      <c r="M170" s="33" t="s">
        <v>111</v>
      </c>
      <c r="N170" s="27" t="n">
        <v>726</v>
      </c>
    </row>
    <row r="171" customFormat="false" ht="15" hidden="false" customHeight="true" outlineLevel="0" collapsed="false">
      <c r="A171" s="19" t="s">
        <v>423</v>
      </c>
      <c r="B171" s="19" t="s">
        <v>424</v>
      </c>
      <c r="C171" s="20" t="s">
        <v>84</v>
      </c>
      <c r="D171" s="21" t="n">
        <v>2830000</v>
      </c>
      <c r="E171" s="21" t="n">
        <v>1093346.65</v>
      </c>
      <c r="F171" s="22" t="n">
        <v>0.1256</v>
      </c>
      <c r="G171" s="20" t="n">
        <v>60</v>
      </c>
      <c r="H171" s="21" t="n">
        <v>63755.56</v>
      </c>
      <c r="I171" s="23" t="n">
        <v>44928</v>
      </c>
      <c r="J171" s="23" t="n">
        <v>46728</v>
      </c>
      <c r="K171" s="20" t="s">
        <v>81</v>
      </c>
      <c r="L171" s="24" t="n">
        <v>0</v>
      </c>
      <c r="M171" s="25" t="s">
        <v>77</v>
      </c>
      <c r="N171" s="20" t="n">
        <v>590</v>
      </c>
    </row>
    <row r="172" customFormat="false" ht="15" hidden="false" customHeight="true" outlineLevel="0" collapsed="false">
      <c r="A172" s="26" t="s">
        <v>425</v>
      </c>
      <c r="B172" s="26" t="s">
        <v>426</v>
      </c>
      <c r="C172" s="27" t="s">
        <v>80</v>
      </c>
      <c r="D172" s="28" t="n">
        <v>722000</v>
      </c>
      <c r="E172" s="28" t="n">
        <v>0</v>
      </c>
      <c r="F172" s="29" t="n">
        <v>0.0965</v>
      </c>
      <c r="G172" s="27" t="n">
        <v>36</v>
      </c>
      <c r="H172" s="28" t="n">
        <v>23178.45</v>
      </c>
      <c r="I172" s="30" t="n">
        <v>44924</v>
      </c>
      <c r="J172" s="30" t="n">
        <v>46004</v>
      </c>
      <c r="K172" s="27" t="s">
        <v>81</v>
      </c>
      <c r="L172" s="31" t="n">
        <v>0</v>
      </c>
      <c r="M172" s="35" t="s">
        <v>269</v>
      </c>
      <c r="N172" s="27" t="n">
        <v>670</v>
      </c>
    </row>
    <row r="173" customFormat="false" ht="15" hidden="false" customHeight="true" outlineLevel="0" collapsed="false">
      <c r="A173" s="19" t="s">
        <v>427</v>
      </c>
      <c r="B173" s="19" t="s">
        <v>428</v>
      </c>
      <c r="C173" s="20" t="s">
        <v>75</v>
      </c>
      <c r="D173" s="21" t="n">
        <v>1487000</v>
      </c>
      <c r="E173" s="21" t="n">
        <v>0</v>
      </c>
      <c r="F173" s="22" t="n">
        <v>0.1315</v>
      </c>
      <c r="G173" s="20" t="n">
        <v>36</v>
      </c>
      <c r="H173" s="21" t="n">
        <v>50210.41</v>
      </c>
      <c r="I173" s="23" t="n">
        <v>43814</v>
      </c>
      <c r="J173" s="23" t="n">
        <v>44894</v>
      </c>
      <c r="K173" s="20" t="s">
        <v>81</v>
      </c>
      <c r="L173" s="24" t="n">
        <v>0</v>
      </c>
      <c r="M173" s="25" t="s">
        <v>77</v>
      </c>
      <c r="N173" s="20" t="n">
        <v>644</v>
      </c>
    </row>
    <row r="174" customFormat="false" ht="15" hidden="false" customHeight="true" outlineLevel="0" collapsed="false">
      <c r="A174" s="26" t="s">
        <v>429</v>
      </c>
      <c r="B174" s="26" t="s">
        <v>430</v>
      </c>
      <c r="C174" s="27" t="s">
        <v>84</v>
      </c>
      <c r="D174" s="28" t="n">
        <v>1222000</v>
      </c>
      <c r="E174" s="28" t="n">
        <v>977169.47</v>
      </c>
      <c r="F174" s="29" t="n">
        <v>0.1616</v>
      </c>
      <c r="G174" s="27" t="n">
        <v>84</v>
      </c>
      <c r="H174" s="28" t="n">
        <v>24382.93</v>
      </c>
      <c r="I174" s="30" t="n">
        <v>45370</v>
      </c>
      <c r="J174" s="30" t="n">
        <v>47890</v>
      </c>
      <c r="K174" s="27" t="s">
        <v>76</v>
      </c>
      <c r="L174" s="31" t="n">
        <v>0</v>
      </c>
      <c r="M174" s="25" t="s">
        <v>77</v>
      </c>
      <c r="N174" s="27" t="n">
        <v>572</v>
      </c>
    </row>
    <row r="175" customFormat="false" ht="15" hidden="false" customHeight="true" outlineLevel="0" collapsed="false">
      <c r="A175" s="19" t="s">
        <v>431</v>
      </c>
      <c r="B175" s="19" t="s">
        <v>432</v>
      </c>
      <c r="C175" s="20" t="s">
        <v>80</v>
      </c>
      <c r="D175" s="21" t="n">
        <v>2021000</v>
      </c>
      <c r="E175" s="21" t="n">
        <v>1948671.53</v>
      </c>
      <c r="F175" s="22" t="n">
        <v>0.1961</v>
      </c>
      <c r="G175" s="20" t="n">
        <v>180</v>
      </c>
      <c r="H175" s="21" t="n">
        <v>34913.83</v>
      </c>
      <c r="I175" s="23" t="n">
        <v>45254</v>
      </c>
      <c r="J175" s="23" t="n">
        <v>50654</v>
      </c>
      <c r="K175" s="20" t="s">
        <v>81</v>
      </c>
      <c r="L175" s="24" t="n">
        <v>0</v>
      </c>
      <c r="M175" s="25" t="s">
        <v>77</v>
      </c>
      <c r="N175" s="20" t="n">
        <v>692</v>
      </c>
    </row>
    <row r="176" customFormat="false" ht="15" hidden="false" customHeight="true" outlineLevel="0" collapsed="false">
      <c r="A176" s="26" t="s">
        <v>433</v>
      </c>
      <c r="B176" s="26" t="s">
        <v>434</v>
      </c>
      <c r="C176" s="27" t="s">
        <v>80</v>
      </c>
      <c r="D176" s="28" t="n">
        <v>1619000</v>
      </c>
      <c r="E176" s="28" t="n">
        <v>1477641.43</v>
      </c>
      <c r="F176" s="29" t="n">
        <v>0.0965</v>
      </c>
      <c r="G176" s="27" t="n">
        <v>180</v>
      </c>
      <c r="H176" s="28" t="n">
        <v>17052.84</v>
      </c>
      <c r="I176" s="30" t="n">
        <v>45220</v>
      </c>
      <c r="J176" s="30" t="n">
        <v>50620</v>
      </c>
      <c r="K176" s="27" t="s">
        <v>81</v>
      </c>
      <c r="L176" s="31" t="n">
        <v>0</v>
      </c>
      <c r="M176" s="25" t="s">
        <v>77</v>
      </c>
      <c r="N176" s="27" t="n">
        <v>650</v>
      </c>
    </row>
    <row r="177" customFormat="false" ht="15" hidden="false" customHeight="true" outlineLevel="0" collapsed="false">
      <c r="A177" s="19" t="s">
        <v>435</v>
      </c>
      <c r="B177" s="19" t="s">
        <v>436</v>
      </c>
      <c r="C177" s="20" t="s">
        <v>75</v>
      </c>
      <c r="D177" s="21" t="n">
        <v>2191000</v>
      </c>
      <c r="E177" s="21" t="n">
        <v>0.01</v>
      </c>
      <c r="F177" s="22" t="n">
        <v>0.2262</v>
      </c>
      <c r="G177" s="20" t="n">
        <v>12</v>
      </c>
      <c r="H177" s="21" t="n">
        <v>205719.62</v>
      </c>
      <c r="I177" s="23" t="n">
        <v>43609</v>
      </c>
      <c r="J177" s="23" t="n">
        <v>43969</v>
      </c>
      <c r="K177" s="20" t="s">
        <v>76</v>
      </c>
      <c r="L177" s="24" t="n">
        <v>0</v>
      </c>
      <c r="M177" s="25" t="s">
        <v>77</v>
      </c>
      <c r="N177" s="20" t="n">
        <v>756</v>
      </c>
    </row>
    <row r="178" customFormat="false" ht="15" hidden="false" customHeight="true" outlineLevel="0" collapsed="false">
      <c r="A178" s="26" t="s">
        <v>437</v>
      </c>
      <c r="B178" s="26" t="s">
        <v>438</v>
      </c>
      <c r="C178" s="27" t="s">
        <v>99</v>
      </c>
      <c r="D178" s="28" t="n">
        <v>1166000</v>
      </c>
      <c r="E178" s="28" t="n">
        <v>1138124.18</v>
      </c>
      <c r="F178" s="29" t="n">
        <v>0.2319</v>
      </c>
      <c r="G178" s="27" t="n">
        <v>240</v>
      </c>
      <c r="H178" s="28" t="n">
        <v>22763.2</v>
      </c>
      <c r="I178" s="30" t="n">
        <v>44264</v>
      </c>
      <c r="J178" s="30" t="n">
        <v>51464</v>
      </c>
      <c r="K178" s="27" t="s">
        <v>81</v>
      </c>
      <c r="L178" s="31" t="n">
        <v>0</v>
      </c>
      <c r="M178" s="25" t="s">
        <v>77</v>
      </c>
      <c r="N178" s="27" t="n">
        <v>850</v>
      </c>
    </row>
    <row r="179" customFormat="false" ht="15" hidden="false" customHeight="true" outlineLevel="0" collapsed="false">
      <c r="A179" s="19" t="s">
        <v>439</v>
      </c>
      <c r="B179" s="19" t="s">
        <v>440</v>
      </c>
      <c r="C179" s="20" t="s">
        <v>91</v>
      </c>
      <c r="D179" s="21" t="n">
        <v>512000</v>
      </c>
      <c r="E179" s="21" t="n">
        <v>0.19</v>
      </c>
      <c r="F179" s="22" t="n">
        <v>0.1844</v>
      </c>
      <c r="G179" s="20" t="n">
        <v>36</v>
      </c>
      <c r="H179" s="21" t="n">
        <v>18623.23</v>
      </c>
      <c r="I179" s="23" t="n">
        <v>43802</v>
      </c>
      <c r="J179" s="23" t="n">
        <v>44882</v>
      </c>
      <c r="K179" s="20" t="s">
        <v>94</v>
      </c>
      <c r="L179" s="24" t="n">
        <v>0</v>
      </c>
      <c r="M179" s="25" t="s">
        <v>77</v>
      </c>
      <c r="N179" s="20" t="n">
        <v>591</v>
      </c>
    </row>
    <row r="180" customFormat="false" ht="15" hidden="false" customHeight="true" outlineLevel="0" collapsed="false">
      <c r="A180" s="26" t="s">
        <v>441</v>
      </c>
      <c r="B180" s="26" t="s">
        <v>442</v>
      </c>
      <c r="C180" s="27" t="s">
        <v>84</v>
      </c>
      <c r="D180" s="28" t="n">
        <v>2840000</v>
      </c>
      <c r="E180" s="28" t="n">
        <v>0.05</v>
      </c>
      <c r="F180" s="29" t="n">
        <v>0.2129</v>
      </c>
      <c r="G180" s="27" t="n">
        <v>12</v>
      </c>
      <c r="H180" s="28" t="n">
        <v>264838.55</v>
      </c>
      <c r="I180" s="30" t="n">
        <v>43433</v>
      </c>
      <c r="J180" s="30" t="n">
        <v>43793</v>
      </c>
      <c r="K180" s="27" t="s">
        <v>81</v>
      </c>
      <c r="L180" s="31" t="n">
        <v>0</v>
      </c>
      <c r="M180" s="25" t="s">
        <v>77</v>
      </c>
      <c r="N180" s="27" t="n">
        <v>591</v>
      </c>
    </row>
    <row r="181" customFormat="false" ht="15" hidden="false" customHeight="true" outlineLevel="0" collapsed="false">
      <c r="A181" s="19" t="s">
        <v>443</v>
      </c>
      <c r="B181" s="19" t="s">
        <v>444</v>
      </c>
      <c r="C181" s="20" t="s">
        <v>75</v>
      </c>
      <c r="D181" s="21" t="n">
        <v>3213000</v>
      </c>
      <c r="E181" s="21" t="n">
        <v>3039727.43</v>
      </c>
      <c r="F181" s="22" t="n">
        <v>0.1622</v>
      </c>
      <c r="G181" s="20" t="n">
        <v>240</v>
      </c>
      <c r="H181" s="21" t="n">
        <v>45232.2</v>
      </c>
      <c r="I181" s="23" t="n">
        <v>44287</v>
      </c>
      <c r="J181" s="23" t="n">
        <v>51487</v>
      </c>
      <c r="K181" s="20" t="s">
        <v>94</v>
      </c>
      <c r="L181" s="24" t="n">
        <v>0</v>
      </c>
      <c r="M181" s="25" t="s">
        <v>77</v>
      </c>
      <c r="N181" s="20" t="n">
        <v>678</v>
      </c>
    </row>
    <row r="182" customFormat="false" ht="15" hidden="false" customHeight="true" outlineLevel="0" collapsed="false">
      <c r="A182" s="26" t="s">
        <v>445</v>
      </c>
      <c r="B182" s="26" t="s">
        <v>446</v>
      </c>
      <c r="C182" s="27" t="s">
        <v>91</v>
      </c>
      <c r="D182" s="28" t="n">
        <v>2295000</v>
      </c>
      <c r="E182" s="28" t="n">
        <v>0</v>
      </c>
      <c r="F182" s="29" t="n">
        <v>0.1917</v>
      </c>
      <c r="G182" s="27" t="n">
        <v>36</v>
      </c>
      <c r="H182" s="28" t="n">
        <v>84322.96</v>
      </c>
      <c r="I182" s="30" t="n">
        <v>44901</v>
      </c>
      <c r="J182" s="30" t="n">
        <v>45981</v>
      </c>
      <c r="K182" s="27" t="s">
        <v>81</v>
      </c>
      <c r="L182" s="31" t="n">
        <v>0</v>
      </c>
      <c r="M182" s="25" t="s">
        <v>77</v>
      </c>
      <c r="N182" s="27" t="n">
        <v>587</v>
      </c>
    </row>
    <row r="183" customFormat="false" ht="15" hidden="false" customHeight="true" outlineLevel="0" collapsed="false">
      <c r="A183" s="19" t="s">
        <v>447</v>
      </c>
      <c r="B183" s="19" t="s">
        <v>448</v>
      </c>
      <c r="C183" s="20" t="s">
        <v>80</v>
      </c>
      <c r="D183" s="21" t="n">
        <v>4941000</v>
      </c>
      <c r="E183" s="21" t="n">
        <v>2236403.31</v>
      </c>
      <c r="F183" s="22" t="n">
        <v>0.1385</v>
      </c>
      <c r="G183" s="20" t="n">
        <v>120</v>
      </c>
      <c r="H183" s="21" t="n">
        <v>76272.15</v>
      </c>
      <c r="I183" s="23" t="n">
        <v>43636</v>
      </c>
      <c r="J183" s="23" t="n">
        <v>47236</v>
      </c>
      <c r="K183" s="20" t="s">
        <v>81</v>
      </c>
      <c r="L183" s="24" t="n">
        <v>0</v>
      </c>
      <c r="M183" s="25" t="s">
        <v>77</v>
      </c>
      <c r="N183" s="20" t="n">
        <v>715</v>
      </c>
    </row>
    <row r="184" customFormat="false" ht="15" hidden="false" customHeight="true" outlineLevel="0" collapsed="false">
      <c r="A184" s="26" t="s">
        <v>449</v>
      </c>
      <c r="B184" s="26" t="s">
        <v>450</v>
      </c>
      <c r="C184" s="27" t="s">
        <v>91</v>
      </c>
      <c r="D184" s="28" t="n">
        <v>1374000</v>
      </c>
      <c r="E184" s="28" t="n">
        <v>0</v>
      </c>
      <c r="F184" s="29" t="n">
        <v>0.1234</v>
      </c>
      <c r="G184" s="27" t="n">
        <v>24</v>
      </c>
      <c r="H184" s="28" t="n">
        <v>64897.33</v>
      </c>
      <c r="I184" s="30" t="n">
        <v>43308</v>
      </c>
      <c r="J184" s="30" t="n">
        <v>44028</v>
      </c>
      <c r="K184" s="27" t="s">
        <v>81</v>
      </c>
      <c r="L184" s="31" t="n">
        <v>0</v>
      </c>
      <c r="M184" s="25" t="s">
        <v>77</v>
      </c>
      <c r="N184" s="27" t="n">
        <v>616</v>
      </c>
    </row>
    <row r="185" customFormat="false" ht="15" hidden="false" customHeight="true" outlineLevel="0" collapsed="false">
      <c r="A185" s="19" t="s">
        <v>451</v>
      </c>
      <c r="B185" s="19" t="s">
        <v>452</v>
      </c>
      <c r="C185" s="20" t="s">
        <v>80</v>
      </c>
      <c r="D185" s="21" t="n">
        <v>1671000</v>
      </c>
      <c r="E185" s="21" t="n">
        <v>259412.26</v>
      </c>
      <c r="F185" s="22" t="n">
        <v>0.1745</v>
      </c>
      <c r="G185" s="20" t="n">
        <v>84</v>
      </c>
      <c r="H185" s="21" t="n">
        <v>34584.19</v>
      </c>
      <c r="I185" s="23" t="n">
        <v>43878</v>
      </c>
      <c r="J185" s="23" t="n">
        <v>46398</v>
      </c>
      <c r="K185" s="20" t="s">
        <v>81</v>
      </c>
      <c r="L185" s="24" t="n">
        <v>0</v>
      </c>
      <c r="M185" s="25" t="s">
        <v>77</v>
      </c>
      <c r="N185" s="20" t="n">
        <v>701</v>
      </c>
    </row>
    <row r="186" customFormat="false" ht="15" hidden="false" customHeight="true" outlineLevel="0" collapsed="false">
      <c r="A186" s="26" t="s">
        <v>453</v>
      </c>
      <c r="B186" s="26" t="s">
        <v>454</v>
      </c>
      <c r="C186" s="27" t="s">
        <v>99</v>
      </c>
      <c r="D186" s="28" t="n">
        <v>2512000</v>
      </c>
      <c r="E186" s="28" t="n">
        <v>2046399.05</v>
      </c>
      <c r="F186" s="29" t="n">
        <v>0.099</v>
      </c>
      <c r="G186" s="27" t="n">
        <v>120</v>
      </c>
      <c r="H186" s="28" t="n">
        <v>33057.32</v>
      </c>
      <c r="I186" s="30" t="n">
        <v>45171</v>
      </c>
      <c r="J186" s="30" t="n">
        <v>48771</v>
      </c>
      <c r="K186" s="27" t="s">
        <v>81</v>
      </c>
      <c r="L186" s="31" t="n">
        <v>0</v>
      </c>
      <c r="M186" s="25" t="s">
        <v>77</v>
      </c>
      <c r="N186" s="27" t="n">
        <v>634</v>
      </c>
    </row>
    <row r="187" customFormat="false" ht="15" hidden="false" customHeight="true" outlineLevel="0" collapsed="false">
      <c r="A187" s="19" t="s">
        <v>455</v>
      </c>
      <c r="B187" s="19" t="s">
        <v>456</v>
      </c>
      <c r="C187" s="20" t="s">
        <v>80</v>
      </c>
      <c r="D187" s="21" t="n">
        <v>4222000</v>
      </c>
      <c r="E187" s="21" t="n">
        <v>2731056.76</v>
      </c>
      <c r="F187" s="22" t="n">
        <v>0.1892</v>
      </c>
      <c r="G187" s="20" t="n">
        <v>60</v>
      </c>
      <c r="H187" s="21" t="n">
        <v>109335.24</v>
      </c>
      <c r="I187" s="23" t="n">
        <v>45299</v>
      </c>
      <c r="J187" s="23" t="n">
        <v>47099</v>
      </c>
      <c r="K187" s="20" t="s">
        <v>81</v>
      </c>
      <c r="L187" s="24" t="n">
        <v>0</v>
      </c>
      <c r="M187" s="25" t="s">
        <v>77</v>
      </c>
      <c r="N187" s="20" t="n">
        <v>648</v>
      </c>
    </row>
    <row r="188" customFormat="false" ht="15" hidden="false" customHeight="true" outlineLevel="0" collapsed="false">
      <c r="A188" s="26" t="s">
        <v>457</v>
      </c>
      <c r="B188" s="26" t="s">
        <v>458</v>
      </c>
      <c r="C188" s="27" t="s">
        <v>75</v>
      </c>
      <c r="D188" s="28" t="n">
        <v>3831000</v>
      </c>
      <c r="E188" s="28" t="n">
        <v>1289619.51</v>
      </c>
      <c r="F188" s="29" t="n">
        <v>0.1417</v>
      </c>
      <c r="G188" s="27" t="n">
        <v>120</v>
      </c>
      <c r="H188" s="28" t="n">
        <v>59874.78</v>
      </c>
      <c r="I188" s="30" t="n">
        <v>43310</v>
      </c>
      <c r="J188" s="30" t="n">
        <v>46910</v>
      </c>
      <c r="K188" s="27" t="s">
        <v>76</v>
      </c>
      <c r="L188" s="31" t="n">
        <v>0</v>
      </c>
      <c r="M188" s="25" t="s">
        <v>77</v>
      </c>
      <c r="N188" s="27" t="n">
        <v>775</v>
      </c>
    </row>
    <row r="189" customFormat="false" ht="15" hidden="false" customHeight="true" outlineLevel="0" collapsed="false">
      <c r="A189" s="19" t="s">
        <v>459</v>
      </c>
      <c r="B189" s="19" t="s">
        <v>460</v>
      </c>
      <c r="C189" s="20" t="s">
        <v>80</v>
      </c>
      <c r="D189" s="21" t="n">
        <v>1435000</v>
      </c>
      <c r="E189" s="21" t="n">
        <v>0.05</v>
      </c>
      <c r="F189" s="22" t="n">
        <v>0.2383</v>
      </c>
      <c r="G189" s="20" t="n">
        <v>24</v>
      </c>
      <c r="H189" s="21" t="n">
        <v>75748.32</v>
      </c>
      <c r="I189" s="23" t="n">
        <v>43628</v>
      </c>
      <c r="J189" s="23" t="n">
        <v>44348</v>
      </c>
      <c r="K189" s="20" t="s">
        <v>81</v>
      </c>
      <c r="L189" s="24" t="n">
        <v>0</v>
      </c>
      <c r="M189" s="25" t="s">
        <v>77</v>
      </c>
      <c r="N189" s="20" t="n">
        <v>534</v>
      </c>
    </row>
    <row r="190" customFormat="false" ht="15" hidden="false" customHeight="true" outlineLevel="0" collapsed="false">
      <c r="A190" s="26" t="s">
        <v>461</v>
      </c>
      <c r="B190" s="26" t="s">
        <v>462</v>
      </c>
      <c r="C190" s="27" t="s">
        <v>75</v>
      </c>
      <c r="D190" s="28" t="n">
        <v>1860000</v>
      </c>
      <c r="E190" s="28" t="n">
        <v>1730777.11</v>
      </c>
      <c r="F190" s="29" t="n">
        <v>0.1074</v>
      </c>
      <c r="G190" s="27" t="n">
        <v>240</v>
      </c>
      <c r="H190" s="28" t="n">
        <v>18870.68</v>
      </c>
      <c r="I190" s="30" t="n">
        <v>44745</v>
      </c>
      <c r="J190" s="30" t="n">
        <v>51945</v>
      </c>
      <c r="K190" s="27" t="s">
        <v>76</v>
      </c>
      <c r="L190" s="31" t="n">
        <v>0</v>
      </c>
      <c r="M190" s="25" t="s">
        <v>77</v>
      </c>
      <c r="N190" s="27" t="n">
        <v>666</v>
      </c>
    </row>
    <row r="191" customFormat="false" ht="15" hidden="false" customHeight="true" outlineLevel="0" collapsed="false">
      <c r="A191" s="19" t="s">
        <v>463</v>
      </c>
      <c r="B191" s="19" t="s">
        <v>464</v>
      </c>
      <c r="C191" s="20" t="s">
        <v>91</v>
      </c>
      <c r="D191" s="21" t="n">
        <v>3051000</v>
      </c>
      <c r="E191" s="21" t="n">
        <v>1335905.12</v>
      </c>
      <c r="F191" s="22" t="n">
        <v>0.1649</v>
      </c>
      <c r="G191" s="20" t="n">
        <v>84</v>
      </c>
      <c r="H191" s="21" t="n">
        <v>61453.71</v>
      </c>
      <c r="I191" s="23" t="n">
        <v>44405</v>
      </c>
      <c r="J191" s="23" t="n">
        <v>46925</v>
      </c>
      <c r="K191" s="20" t="s">
        <v>81</v>
      </c>
      <c r="L191" s="24" t="n">
        <v>0</v>
      </c>
      <c r="M191" s="25" t="s">
        <v>77</v>
      </c>
      <c r="N191" s="20" t="n">
        <v>582</v>
      </c>
    </row>
    <row r="192" customFormat="false" ht="15" hidden="false" customHeight="true" outlineLevel="0" collapsed="false">
      <c r="A192" s="26" t="s">
        <v>465</v>
      </c>
      <c r="B192" s="26" t="s">
        <v>466</v>
      </c>
      <c r="C192" s="27" t="s">
        <v>75</v>
      </c>
      <c r="D192" s="28" t="n">
        <v>2561000</v>
      </c>
      <c r="E192" s="28" t="n">
        <v>2462560.26</v>
      </c>
      <c r="F192" s="29" t="n">
        <v>0.164</v>
      </c>
      <c r="G192" s="27" t="n">
        <v>180</v>
      </c>
      <c r="H192" s="28" t="n">
        <v>38330.07</v>
      </c>
      <c r="I192" s="30" t="n">
        <v>45406</v>
      </c>
      <c r="J192" s="30" t="n">
        <v>50806</v>
      </c>
      <c r="K192" s="27" t="s">
        <v>81</v>
      </c>
      <c r="L192" s="31" t="n">
        <v>0</v>
      </c>
      <c r="M192" s="25" t="s">
        <v>77</v>
      </c>
      <c r="N192" s="27" t="n">
        <v>684</v>
      </c>
    </row>
    <row r="193" customFormat="false" ht="15" hidden="false" customHeight="true" outlineLevel="0" collapsed="false">
      <c r="A193" s="19" t="s">
        <v>467</v>
      </c>
      <c r="B193" s="19" t="s">
        <v>468</v>
      </c>
      <c r="C193" s="20" t="s">
        <v>75</v>
      </c>
      <c r="D193" s="21" t="n">
        <v>3994000</v>
      </c>
      <c r="E193" s="21" t="n">
        <v>0.03</v>
      </c>
      <c r="F193" s="22" t="n">
        <v>0.1974</v>
      </c>
      <c r="G193" s="20" t="n">
        <v>12</v>
      </c>
      <c r="H193" s="21" t="n">
        <v>369485.4</v>
      </c>
      <c r="I193" s="23" t="n">
        <v>45044</v>
      </c>
      <c r="J193" s="23" t="n">
        <v>45404</v>
      </c>
      <c r="K193" s="20" t="s">
        <v>81</v>
      </c>
      <c r="L193" s="24" t="n">
        <v>0</v>
      </c>
      <c r="M193" s="25" t="s">
        <v>77</v>
      </c>
      <c r="N193" s="20" t="n">
        <v>775</v>
      </c>
    </row>
    <row r="194" customFormat="false" ht="15" hidden="false" customHeight="true" outlineLevel="0" collapsed="false">
      <c r="A194" s="26" t="s">
        <v>469</v>
      </c>
      <c r="B194" s="26" t="s">
        <v>470</v>
      </c>
      <c r="C194" s="27" t="s">
        <v>75</v>
      </c>
      <c r="D194" s="28" t="n">
        <v>3621000</v>
      </c>
      <c r="E194" s="28" t="n">
        <v>742023.1</v>
      </c>
      <c r="F194" s="29" t="n">
        <v>0.1754</v>
      </c>
      <c r="G194" s="27" t="n">
        <v>36</v>
      </c>
      <c r="H194" s="28" t="n">
        <v>130073.76</v>
      </c>
      <c r="I194" s="30" t="n">
        <v>45248</v>
      </c>
      <c r="J194" s="30" t="n">
        <v>46328</v>
      </c>
      <c r="K194" s="27" t="s">
        <v>94</v>
      </c>
      <c r="L194" s="31" t="n">
        <v>0</v>
      </c>
      <c r="M194" s="25" t="s">
        <v>77</v>
      </c>
      <c r="N194" s="27" t="n">
        <v>656</v>
      </c>
    </row>
    <row r="195" customFormat="false" ht="15" hidden="false" customHeight="true" outlineLevel="0" collapsed="false">
      <c r="A195" s="19" t="s">
        <v>471</v>
      </c>
      <c r="B195" s="19" t="s">
        <v>472</v>
      </c>
      <c r="C195" s="20" t="s">
        <v>80</v>
      </c>
      <c r="D195" s="21" t="n">
        <v>4744000</v>
      </c>
      <c r="E195" s="21" t="n">
        <v>0</v>
      </c>
      <c r="F195" s="22" t="n">
        <v>0.102</v>
      </c>
      <c r="G195" s="20" t="n">
        <v>12</v>
      </c>
      <c r="H195" s="21" t="n">
        <v>417514.38</v>
      </c>
      <c r="I195" s="23" t="n">
        <v>44907</v>
      </c>
      <c r="J195" s="23" t="n">
        <v>45267</v>
      </c>
      <c r="K195" s="20" t="s">
        <v>81</v>
      </c>
      <c r="L195" s="24" t="n">
        <v>0</v>
      </c>
      <c r="M195" s="25" t="s">
        <v>77</v>
      </c>
      <c r="N195" s="20" t="n">
        <v>661</v>
      </c>
    </row>
    <row r="196" customFormat="false" ht="15" hidden="false" customHeight="true" outlineLevel="0" collapsed="false">
      <c r="A196" s="26" t="s">
        <v>473</v>
      </c>
      <c r="B196" s="26" t="s">
        <v>474</v>
      </c>
      <c r="C196" s="27" t="s">
        <v>91</v>
      </c>
      <c r="D196" s="28" t="n">
        <v>3886000</v>
      </c>
      <c r="E196" s="28" t="n">
        <v>0</v>
      </c>
      <c r="F196" s="29" t="n">
        <v>0.2277</v>
      </c>
      <c r="G196" s="27" t="n">
        <v>12</v>
      </c>
      <c r="H196" s="28" t="n">
        <v>365149.38</v>
      </c>
      <c r="I196" s="30" t="n">
        <v>43666</v>
      </c>
      <c r="J196" s="30" t="n">
        <v>44026</v>
      </c>
      <c r="K196" s="27" t="s">
        <v>76</v>
      </c>
      <c r="L196" s="31" t="n">
        <v>0</v>
      </c>
      <c r="M196" s="25" t="s">
        <v>77</v>
      </c>
      <c r="N196" s="27" t="n">
        <v>651</v>
      </c>
    </row>
    <row r="197" customFormat="false" ht="15" hidden="false" customHeight="true" outlineLevel="0" collapsed="false">
      <c r="A197" s="19" t="s">
        <v>475</v>
      </c>
      <c r="B197" s="19" t="s">
        <v>476</v>
      </c>
      <c r="C197" s="20" t="s">
        <v>91</v>
      </c>
      <c r="D197" s="21" t="n">
        <v>2325000</v>
      </c>
      <c r="E197" s="21" t="n">
        <v>2231177.91</v>
      </c>
      <c r="F197" s="22" t="n">
        <v>0.1676</v>
      </c>
      <c r="G197" s="20" t="n">
        <v>240</v>
      </c>
      <c r="H197" s="21" t="n">
        <v>33679.43</v>
      </c>
      <c r="I197" s="23" t="n">
        <v>44552</v>
      </c>
      <c r="J197" s="23" t="n">
        <v>51752</v>
      </c>
      <c r="K197" s="20" t="s">
        <v>94</v>
      </c>
      <c r="L197" s="24" t="n">
        <v>0</v>
      </c>
      <c r="M197" s="25" t="s">
        <v>77</v>
      </c>
      <c r="N197" s="20" t="n">
        <v>526</v>
      </c>
    </row>
    <row r="198" customFormat="false" ht="15" hidden="false" customHeight="true" outlineLevel="0" collapsed="false">
      <c r="A198" s="26" t="s">
        <v>477</v>
      </c>
      <c r="B198" s="26" t="s">
        <v>478</v>
      </c>
      <c r="C198" s="27" t="s">
        <v>84</v>
      </c>
      <c r="D198" s="28" t="n">
        <v>1359000</v>
      </c>
      <c r="E198" s="28" t="n">
        <v>0.11</v>
      </c>
      <c r="F198" s="29" t="n">
        <v>0.16</v>
      </c>
      <c r="G198" s="27" t="n">
        <v>48</v>
      </c>
      <c r="H198" s="28" t="n">
        <v>38514.44</v>
      </c>
      <c r="I198" s="30" t="n">
        <v>44243</v>
      </c>
      <c r="J198" s="30" t="n">
        <v>45683</v>
      </c>
      <c r="K198" s="27" t="s">
        <v>76</v>
      </c>
      <c r="L198" s="31" t="n">
        <v>0</v>
      </c>
      <c r="M198" s="33" t="s">
        <v>111</v>
      </c>
      <c r="N198" s="27" t="n">
        <v>810</v>
      </c>
    </row>
    <row r="199" customFormat="false" ht="15" hidden="false" customHeight="true" outlineLevel="0" collapsed="false">
      <c r="A199" s="19" t="s">
        <v>479</v>
      </c>
      <c r="B199" s="19" t="s">
        <v>480</v>
      </c>
      <c r="C199" s="20" t="s">
        <v>84</v>
      </c>
      <c r="D199" s="21" t="n">
        <v>2471000</v>
      </c>
      <c r="E199" s="21" t="n">
        <v>2326792.54</v>
      </c>
      <c r="F199" s="22" t="n">
        <v>0.1594</v>
      </c>
      <c r="G199" s="20" t="n">
        <v>240</v>
      </c>
      <c r="H199" s="21" t="n">
        <v>34266.75</v>
      </c>
      <c r="I199" s="23" t="n">
        <v>44221</v>
      </c>
      <c r="J199" s="23" t="n">
        <v>51421</v>
      </c>
      <c r="K199" s="20" t="s">
        <v>81</v>
      </c>
      <c r="L199" s="24" t="n">
        <v>0</v>
      </c>
      <c r="M199" s="25" t="s">
        <v>77</v>
      </c>
      <c r="N199" s="20" t="n">
        <v>635</v>
      </c>
    </row>
    <row r="200" customFormat="false" ht="15" hidden="false" customHeight="true" outlineLevel="0" collapsed="false">
      <c r="A200" s="26" t="s">
        <v>481</v>
      </c>
      <c r="B200" s="26" t="s">
        <v>482</v>
      </c>
      <c r="C200" s="27" t="s">
        <v>99</v>
      </c>
      <c r="D200" s="28" t="n">
        <v>2003000</v>
      </c>
      <c r="E200" s="28" t="n">
        <v>0</v>
      </c>
      <c r="F200" s="29" t="n">
        <v>0.1385</v>
      </c>
      <c r="G200" s="27" t="n">
        <v>36</v>
      </c>
      <c r="H200" s="28" t="n">
        <v>68311.96</v>
      </c>
      <c r="I200" s="30" t="n">
        <v>44290</v>
      </c>
      <c r="J200" s="30" t="n">
        <v>45370</v>
      </c>
      <c r="K200" s="27" t="s">
        <v>81</v>
      </c>
      <c r="L200" s="31" t="n">
        <v>0</v>
      </c>
      <c r="M200" s="25" t="s">
        <v>77</v>
      </c>
      <c r="N200" s="27" t="n">
        <v>552</v>
      </c>
    </row>
    <row r="201" customFormat="false" ht="15" hidden="false" customHeight="true" outlineLevel="0" collapsed="false">
      <c r="A201" s="19" t="s">
        <v>483</v>
      </c>
      <c r="B201" s="19" t="s">
        <v>484</v>
      </c>
      <c r="C201" s="20" t="s">
        <v>99</v>
      </c>
      <c r="D201" s="21" t="n">
        <v>1109000</v>
      </c>
      <c r="E201" s="21" t="n">
        <v>782200.01</v>
      </c>
      <c r="F201" s="22" t="n">
        <v>0.2133</v>
      </c>
      <c r="G201" s="20" t="n">
        <v>60</v>
      </c>
      <c r="H201" s="21" t="n">
        <v>30208.41</v>
      </c>
      <c r="I201" s="23" t="n">
        <v>45403</v>
      </c>
      <c r="J201" s="23" t="n">
        <v>47203</v>
      </c>
      <c r="K201" s="20" t="s">
        <v>94</v>
      </c>
      <c r="L201" s="24" t="n">
        <v>0</v>
      </c>
      <c r="M201" s="25" t="s">
        <v>77</v>
      </c>
      <c r="N201" s="20" t="n">
        <v>596</v>
      </c>
    </row>
    <row r="202" customFormat="false" ht="15" hidden="false" customHeight="true" outlineLevel="0" collapsed="false">
      <c r="A202" s="26" t="s">
        <v>485</v>
      </c>
      <c r="B202" s="26" t="s">
        <v>486</v>
      </c>
      <c r="C202" s="27" t="s">
        <v>75</v>
      </c>
      <c r="D202" s="28" t="n">
        <v>1250000</v>
      </c>
      <c r="E202" s="28" t="n">
        <v>1188691.4</v>
      </c>
      <c r="F202" s="29" t="n">
        <v>0.1888</v>
      </c>
      <c r="G202" s="27" t="n">
        <v>240</v>
      </c>
      <c r="H202" s="28" t="n">
        <v>20141.97</v>
      </c>
      <c r="I202" s="30" t="n">
        <v>44025</v>
      </c>
      <c r="J202" s="30" t="n">
        <v>51225</v>
      </c>
      <c r="K202" s="27" t="s">
        <v>94</v>
      </c>
      <c r="L202" s="31" t="n">
        <v>0</v>
      </c>
      <c r="M202" s="25" t="s">
        <v>77</v>
      </c>
      <c r="N202" s="27" t="n">
        <v>559</v>
      </c>
    </row>
    <row r="203" customFormat="false" ht="15" hidden="false" customHeight="true" outlineLevel="0" collapsed="false">
      <c r="A203" s="19" t="s">
        <v>487</v>
      </c>
      <c r="B203" s="19" t="s">
        <v>488</v>
      </c>
      <c r="C203" s="20" t="s">
        <v>75</v>
      </c>
      <c r="D203" s="21" t="n">
        <v>76000</v>
      </c>
      <c r="E203" s="21" t="n">
        <v>0.1</v>
      </c>
      <c r="F203" s="22" t="n">
        <v>0.1703</v>
      </c>
      <c r="G203" s="20" t="n">
        <v>36</v>
      </c>
      <c r="H203" s="21" t="n">
        <v>2710.74</v>
      </c>
      <c r="I203" s="23" t="n">
        <v>44767</v>
      </c>
      <c r="J203" s="23" t="n">
        <v>45847</v>
      </c>
      <c r="K203" s="20" t="s">
        <v>94</v>
      </c>
      <c r="L203" s="24" t="n">
        <v>0</v>
      </c>
      <c r="M203" s="25" t="s">
        <v>77</v>
      </c>
      <c r="N203" s="20" t="n">
        <v>780</v>
      </c>
    </row>
    <row r="204" customFormat="false" ht="15" hidden="false" customHeight="true" outlineLevel="0" collapsed="false">
      <c r="A204" s="26" t="s">
        <v>489</v>
      </c>
      <c r="B204" s="26" t="s">
        <v>490</v>
      </c>
      <c r="C204" s="27" t="s">
        <v>75</v>
      </c>
      <c r="D204" s="28" t="n">
        <v>3792000</v>
      </c>
      <c r="E204" s="28" t="n">
        <v>0</v>
      </c>
      <c r="F204" s="29" t="n">
        <v>0.1295</v>
      </c>
      <c r="G204" s="27" t="n">
        <v>60</v>
      </c>
      <c r="H204" s="28" t="n">
        <v>86182.63</v>
      </c>
      <c r="I204" s="30" t="n">
        <v>43343</v>
      </c>
      <c r="J204" s="30" t="n">
        <v>45143</v>
      </c>
      <c r="K204" s="27" t="s">
        <v>81</v>
      </c>
      <c r="L204" s="31" t="n">
        <v>0</v>
      </c>
      <c r="M204" s="25" t="s">
        <v>77</v>
      </c>
      <c r="N204" s="27" t="n">
        <v>751</v>
      </c>
    </row>
    <row r="205" customFormat="false" ht="15" hidden="false" customHeight="true" outlineLevel="0" collapsed="false">
      <c r="A205" s="19" t="s">
        <v>491</v>
      </c>
      <c r="B205" s="19" t="s">
        <v>492</v>
      </c>
      <c r="C205" s="20" t="s">
        <v>75</v>
      </c>
      <c r="D205" s="21" t="n">
        <v>917000</v>
      </c>
      <c r="E205" s="21" t="n">
        <v>0.18</v>
      </c>
      <c r="F205" s="22" t="n">
        <v>0.2217</v>
      </c>
      <c r="G205" s="20" t="n">
        <v>36</v>
      </c>
      <c r="H205" s="21" t="n">
        <v>35101.34</v>
      </c>
      <c r="I205" s="23" t="n">
        <v>43249</v>
      </c>
      <c r="J205" s="23" t="n">
        <v>44329</v>
      </c>
      <c r="K205" s="20" t="s">
        <v>81</v>
      </c>
      <c r="L205" s="24" t="n">
        <v>0</v>
      </c>
      <c r="M205" s="25" t="s">
        <v>77</v>
      </c>
      <c r="N205" s="20" t="n">
        <v>833</v>
      </c>
    </row>
    <row r="206" customFormat="false" ht="15" hidden="false" customHeight="true" outlineLevel="0" collapsed="false">
      <c r="A206" s="26" t="s">
        <v>493</v>
      </c>
      <c r="B206" s="26" t="s">
        <v>494</v>
      </c>
      <c r="C206" s="27" t="s">
        <v>99</v>
      </c>
      <c r="D206" s="28" t="n">
        <v>4634000</v>
      </c>
      <c r="E206" s="28" t="n">
        <v>0.01</v>
      </c>
      <c r="F206" s="29" t="n">
        <v>0.2209</v>
      </c>
      <c r="G206" s="27" t="n">
        <v>12</v>
      </c>
      <c r="H206" s="28" t="n">
        <v>433917.1</v>
      </c>
      <c r="I206" s="30" t="n">
        <v>44323</v>
      </c>
      <c r="J206" s="30" t="n">
        <v>44683</v>
      </c>
      <c r="K206" s="27" t="s">
        <v>76</v>
      </c>
      <c r="L206" s="31" t="n">
        <v>0</v>
      </c>
      <c r="M206" s="33" t="s">
        <v>111</v>
      </c>
      <c r="N206" s="27" t="n">
        <v>601</v>
      </c>
    </row>
    <row r="207" customFormat="false" ht="15" hidden="false" customHeight="true" outlineLevel="0" collapsed="false">
      <c r="A207" s="19" t="s">
        <v>495</v>
      </c>
      <c r="B207" s="19" t="s">
        <v>496</v>
      </c>
      <c r="C207" s="20" t="s">
        <v>91</v>
      </c>
      <c r="D207" s="21" t="n">
        <v>2495000</v>
      </c>
      <c r="E207" s="21" t="n">
        <v>2467199.7</v>
      </c>
      <c r="F207" s="22" t="n">
        <v>0.2305</v>
      </c>
      <c r="G207" s="20" t="n">
        <v>240</v>
      </c>
      <c r="H207" s="21" t="n">
        <v>48428.28</v>
      </c>
      <c r="I207" s="23" t="n">
        <v>45018</v>
      </c>
      <c r="J207" s="23" t="n">
        <v>52218</v>
      </c>
      <c r="K207" s="20" t="s">
        <v>81</v>
      </c>
      <c r="L207" s="24" t="n">
        <v>0</v>
      </c>
      <c r="M207" s="25" t="s">
        <v>77</v>
      </c>
      <c r="N207" s="20" t="n">
        <v>769</v>
      </c>
    </row>
    <row r="208" customFormat="false" ht="15" hidden="false" customHeight="true" outlineLevel="0" collapsed="false">
      <c r="A208" s="26" t="s">
        <v>497</v>
      </c>
      <c r="B208" s="26" t="s">
        <v>498</v>
      </c>
      <c r="C208" s="27" t="s">
        <v>84</v>
      </c>
      <c r="D208" s="28" t="n">
        <v>3259000</v>
      </c>
      <c r="E208" s="28" t="n">
        <v>0</v>
      </c>
      <c r="F208" s="29" t="n">
        <v>0.1964</v>
      </c>
      <c r="G208" s="27" t="n">
        <v>12</v>
      </c>
      <c r="H208" s="28" t="n">
        <v>301334.63</v>
      </c>
      <c r="I208" s="30" t="n">
        <v>44481</v>
      </c>
      <c r="J208" s="30" t="n">
        <v>44841</v>
      </c>
      <c r="K208" s="27" t="s">
        <v>81</v>
      </c>
      <c r="L208" s="31" t="n">
        <v>0</v>
      </c>
      <c r="M208" s="25" t="s">
        <v>77</v>
      </c>
      <c r="N208" s="27" t="n">
        <v>663</v>
      </c>
    </row>
    <row r="209" customFormat="false" ht="15" hidden="false" customHeight="true" outlineLevel="0" collapsed="false">
      <c r="A209" s="19" t="s">
        <v>499</v>
      </c>
      <c r="B209" s="19" t="s">
        <v>500</v>
      </c>
      <c r="C209" s="20" t="s">
        <v>75</v>
      </c>
      <c r="D209" s="21" t="n">
        <v>2167000</v>
      </c>
      <c r="E209" s="21" t="n">
        <v>861405.85</v>
      </c>
      <c r="F209" s="22" t="n">
        <v>0.1358</v>
      </c>
      <c r="G209" s="20" t="n">
        <v>120</v>
      </c>
      <c r="H209" s="21" t="n">
        <v>33101.17</v>
      </c>
      <c r="I209" s="23" t="n">
        <v>43491</v>
      </c>
      <c r="J209" s="23" t="n">
        <v>47091</v>
      </c>
      <c r="K209" s="20" t="s">
        <v>81</v>
      </c>
      <c r="L209" s="24" t="n">
        <v>0</v>
      </c>
      <c r="M209" s="25" t="s">
        <v>77</v>
      </c>
      <c r="N209" s="20" t="n">
        <v>617</v>
      </c>
    </row>
    <row r="210" customFormat="false" ht="15" hidden="false" customHeight="true" outlineLevel="0" collapsed="false">
      <c r="A210" s="26" t="s">
        <v>501</v>
      </c>
      <c r="B210" s="26" t="s">
        <v>502</v>
      </c>
      <c r="C210" s="27" t="s">
        <v>80</v>
      </c>
      <c r="D210" s="28" t="n">
        <v>1949000</v>
      </c>
      <c r="E210" s="28" t="n">
        <v>136860.12</v>
      </c>
      <c r="F210" s="29" t="n">
        <v>0.1542</v>
      </c>
      <c r="G210" s="27" t="n">
        <v>60</v>
      </c>
      <c r="H210" s="28" t="n">
        <v>46797.36</v>
      </c>
      <c r="I210" s="30" t="n">
        <v>44451</v>
      </c>
      <c r="J210" s="30" t="n">
        <v>46251</v>
      </c>
      <c r="K210" s="27" t="s">
        <v>81</v>
      </c>
      <c r="L210" s="31" t="n">
        <v>0</v>
      </c>
      <c r="M210" s="25" t="s">
        <v>77</v>
      </c>
      <c r="N210" s="27" t="n">
        <v>607</v>
      </c>
    </row>
    <row r="211" customFormat="false" ht="15" hidden="false" customHeight="true" outlineLevel="0" collapsed="false">
      <c r="A211" s="19" t="s">
        <v>503</v>
      </c>
      <c r="B211" s="19" t="s">
        <v>504</v>
      </c>
      <c r="C211" s="20" t="s">
        <v>75</v>
      </c>
      <c r="D211" s="21" t="n">
        <v>635000</v>
      </c>
      <c r="E211" s="21" t="n">
        <v>533644.13</v>
      </c>
      <c r="F211" s="22" t="n">
        <v>0.1326</v>
      </c>
      <c r="G211" s="20" t="n">
        <v>120</v>
      </c>
      <c r="H211" s="21" t="n">
        <v>9578.86</v>
      </c>
      <c r="I211" s="23" t="n">
        <v>45159</v>
      </c>
      <c r="J211" s="23" t="n">
        <v>48759</v>
      </c>
      <c r="K211" s="20" t="s">
        <v>94</v>
      </c>
      <c r="L211" s="24" t="n">
        <v>0</v>
      </c>
      <c r="M211" s="25" t="s">
        <v>77</v>
      </c>
      <c r="N211" s="20" t="n">
        <v>659</v>
      </c>
    </row>
    <row r="212" customFormat="false" ht="15" hidden="false" customHeight="true" outlineLevel="0" collapsed="false">
      <c r="A212" s="26" t="s">
        <v>505</v>
      </c>
      <c r="B212" s="26" t="s">
        <v>506</v>
      </c>
      <c r="C212" s="27" t="s">
        <v>99</v>
      </c>
      <c r="D212" s="28" t="n">
        <v>1510000</v>
      </c>
      <c r="E212" s="28" t="n">
        <v>0.29</v>
      </c>
      <c r="F212" s="29" t="n">
        <v>0.1803</v>
      </c>
      <c r="G212" s="27" t="n">
        <v>48</v>
      </c>
      <c r="H212" s="28" t="n">
        <v>44379.92</v>
      </c>
      <c r="I212" s="30" t="n">
        <v>43648</v>
      </c>
      <c r="J212" s="30" t="n">
        <v>45088</v>
      </c>
      <c r="K212" s="27" t="s">
        <v>81</v>
      </c>
      <c r="L212" s="31" t="n">
        <v>0</v>
      </c>
      <c r="M212" s="25" t="s">
        <v>77</v>
      </c>
      <c r="N212" s="27" t="n">
        <v>643</v>
      </c>
    </row>
    <row r="213" customFormat="false" ht="15" hidden="false" customHeight="true" outlineLevel="0" collapsed="false">
      <c r="A213" s="19" t="s">
        <v>507</v>
      </c>
      <c r="B213" s="19" t="s">
        <v>508</v>
      </c>
      <c r="C213" s="20" t="s">
        <v>91</v>
      </c>
      <c r="D213" s="21" t="n">
        <v>3799000</v>
      </c>
      <c r="E213" s="21" t="n">
        <v>0</v>
      </c>
      <c r="F213" s="22" t="n">
        <v>0.2093</v>
      </c>
      <c r="G213" s="20" t="n">
        <v>48</v>
      </c>
      <c r="H213" s="21" t="n">
        <v>117495.69</v>
      </c>
      <c r="I213" s="23" t="n">
        <v>44114</v>
      </c>
      <c r="J213" s="23" t="n">
        <v>45554</v>
      </c>
      <c r="K213" s="20" t="s">
        <v>94</v>
      </c>
      <c r="L213" s="24" t="n">
        <v>0</v>
      </c>
      <c r="M213" s="25" t="s">
        <v>77</v>
      </c>
      <c r="N213" s="20" t="n">
        <v>617</v>
      </c>
    </row>
    <row r="214" customFormat="false" ht="15" hidden="false" customHeight="true" outlineLevel="0" collapsed="false">
      <c r="A214" s="26" t="s">
        <v>509</v>
      </c>
      <c r="B214" s="26" t="s">
        <v>510</v>
      </c>
      <c r="C214" s="27" t="s">
        <v>91</v>
      </c>
      <c r="D214" s="28" t="n">
        <v>2664000</v>
      </c>
      <c r="E214" s="28" t="n">
        <v>0.02</v>
      </c>
      <c r="F214" s="29" t="n">
        <v>0.1411</v>
      </c>
      <c r="G214" s="27" t="n">
        <v>24</v>
      </c>
      <c r="H214" s="28" t="n">
        <v>128044.8</v>
      </c>
      <c r="I214" s="30" t="n">
        <v>43353</v>
      </c>
      <c r="J214" s="30" t="n">
        <v>44073</v>
      </c>
      <c r="K214" s="27" t="s">
        <v>76</v>
      </c>
      <c r="L214" s="31" t="n">
        <v>0</v>
      </c>
      <c r="M214" s="25" t="s">
        <v>77</v>
      </c>
      <c r="N214" s="27" t="n">
        <v>501</v>
      </c>
    </row>
    <row r="215" customFormat="false" ht="15" hidden="false" customHeight="true" outlineLevel="0" collapsed="false">
      <c r="A215" s="19" t="s">
        <v>511</v>
      </c>
      <c r="B215" s="19" t="s">
        <v>512</v>
      </c>
      <c r="C215" s="20" t="s">
        <v>80</v>
      </c>
      <c r="D215" s="21" t="n">
        <v>625000</v>
      </c>
      <c r="E215" s="21" t="n">
        <v>443749.55</v>
      </c>
      <c r="F215" s="22" t="n">
        <v>0.1168</v>
      </c>
      <c r="G215" s="20" t="n">
        <v>180</v>
      </c>
      <c r="H215" s="21" t="n">
        <v>7372.86</v>
      </c>
      <c r="I215" s="23" t="n">
        <v>43473</v>
      </c>
      <c r="J215" s="23" t="n">
        <v>48873</v>
      </c>
      <c r="K215" s="20" t="s">
        <v>76</v>
      </c>
      <c r="L215" s="24" t="n">
        <v>0</v>
      </c>
      <c r="M215" s="25" t="s">
        <v>77</v>
      </c>
      <c r="N215" s="20" t="n">
        <v>624</v>
      </c>
    </row>
    <row r="216" customFormat="false" ht="15" hidden="false" customHeight="true" outlineLevel="0" collapsed="false">
      <c r="A216" s="26" t="s">
        <v>513</v>
      </c>
      <c r="B216" s="26" t="s">
        <v>514</v>
      </c>
      <c r="C216" s="27" t="s">
        <v>91</v>
      </c>
      <c r="D216" s="28" t="n">
        <v>2311000</v>
      </c>
      <c r="E216" s="28" t="n">
        <v>1871108.65</v>
      </c>
      <c r="F216" s="29" t="n">
        <v>0.0939</v>
      </c>
      <c r="G216" s="27" t="n">
        <v>180</v>
      </c>
      <c r="H216" s="28" t="n">
        <v>23978.87</v>
      </c>
      <c r="I216" s="30" t="n">
        <v>44363</v>
      </c>
      <c r="J216" s="30" t="n">
        <v>49763</v>
      </c>
      <c r="K216" s="27" t="s">
        <v>94</v>
      </c>
      <c r="L216" s="31" t="n">
        <v>0</v>
      </c>
      <c r="M216" s="25" t="s">
        <v>77</v>
      </c>
      <c r="N216" s="27" t="n">
        <v>755</v>
      </c>
    </row>
    <row r="217" customFormat="false" ht="15" hidden="false" customHeight="true" outlineLevel="0" collapsed="false">
      <c r="A217" s="19" t="s">
        <v>515</v>
      </c>
      <c r="B217" s="19" t="s">
        <v>516</v>
      </c>
      <c r="C217" s="20" t="s">
        <v>84</v>
      </c>
      <c r="D217" s="21" t="n">
        <v>1755000</v>
      </c>
      <c r="E217" s="21" t="n">
        <v>0.04</v>
      </c>
      <c r="F217" s="22" t="n">
        <v>0.0949</v>
      </c>
      <c r="G217" s="20" t="n">
        <v>12</v>
      </c>
      <c r="H217" s="21" t="n">
        <v>153876.41</v>
      </c>
      <c r="I217" s="23" t="n">
        <v>43383</v>
      </c>
      <c r="J217" s="23" t="n">
        <v>43743</v>
      </c>
      <c r="K217" s="20" t="s">
        <v>81</v>
      </c>
      <c r="L217" s="37" t="n">
        <v>1</v>
      </c>
      <c r="M217" s="32" t="s">
        <v>104</v>
      </c>
      <c r="N217" s="20" t="n">
        <v>648</v>
      </c>
    </row>
    <row r="218" customFormat="false" ht="15" hidden="false" customHeight="true" outlineLevel="0" collapsed="false">
      <c r="A218" s="26" t="s">
        <v>517</v>
      </c>
      <c r="B218" s="26" t="s">
        <v>518</v>
      </c>
      <c r="C218" s="27" t="s">
        <v>84</v>
      </c>
      <c r="D218" s="28" t="n">
        <v>3841000</v>
      </c>
      <c r="E218" s="28" t="n">
        <v>3165835.63</v>
      </c>
      <c r="F218" s="29" t="n">
        <v>0.2366</v>
      </c>
      <c r="G218" s="27" t="n">
        <v>120</v>
      </c>
      <c r="H218" s="28" t="n">
        <v>83777.85</v>
      </c>
      <c r="I218" s="30" t="n">
        <v>44634</v>
      </c>
      <c r="J218" s="30" t="n">
        <v>48234</v>
      </c>
      <c r="K218" s="27" t="s">
        <v>81</v>
      </c>
      <c r="L218" s="31" t="n">
        <v>0</v>
      </c>
      <c r="M218" s="25" t="s">
        <v>77</v>
      </c>
      <c r="N218" s="27" t="n">
        <v>658</v>
      </c>
    </row>
    <row r="219" customFormat="false" ht="15" hidden="false" customHeight="true" outlineLevel="0" collapsed="false">
      <c r="A219" s="19" t="s">
        <v>519</v>
      </c>
      <c r="B219" s="19" t="s">
        <v>520</v>
      </c>
      <c r="C219" s="20" t="s">
        <v>91</v>
      </c>
      <c r="D219" s="21" t="n">
        <v>2720000</v>
      </c>
      <c r="E219" s="21" t="n">
        <v>0</v>
      </c>
      <c r="F219" s="22" t="n">
        <v>0.1863</v>
      </c>
      <c r="G219" s="20" t="n">
        <v>84</v>
      </c>
      <c r="H219" s="21" t="n">
        <v>58177.3</v>
      </c>
      <c r="I219" s="23" t="n">
        <v>43586</v>
      </c>
      <c r="J219" s="23" t="n">
        <v>46106</v>
      </c>
      <c r="K219" s="20" t="s">
        <v>81</v>
      </c>
      <c r="L219" s="24" t="n">
        <v>0</v>
      </c>
      <c r="M219" s="25" t="s">
        <v>77</v>
      </c>
      <c r="N219" s="20" t="n">
        <v>621</v>
      </c>
    </row>
    <row r="220" customFormat="false" ht="15" hidden="false" customHeight="true" outlineLevel="0" collapsed="false">
      <c r="A220" s="26" t="s">
        <v>521</v>
      </c>
      <c r="B220" s="26" t="s">
        <v>522</v>
      </c>
      <c r="C220" s="27" t="s">
        <v>75</v>
      </c>
      <c r="D220" s="28" t="n">
        <v>1152000</v>
      </c>
      <c r="E220" s="28" t="n">
        <v>0.04</v>
      </c>
      <c r="F220" s="29" t="n">
        <v>0.0855</v>
      </c>
      <c r="G220" s="27" t="n">
        <v>12</v>
      </c>
      <c r="H220" s="28" t="n">
        <v>100503.86</v>
      </c>
      <c r="I220" s="30" t="n">
        <v>44323</v>
      </c>
      <c r="J220" s="30" t="n">
        <v>44683</v>
      </c>
      <c r="K220" s="27" t="s">
        <v>81</v>
      </c>
      <c r="L220" s="31" t="n">
        <v>0</v>
      </c>
      <c r="M220" s="25" t="s">
        <v>77</v>
      </c>
      <c r="N220" s="27" t="n">
        <v>562</v>
      </c>
    </row>
    <row r="221" customFormat="false" ht="15" hidden="false" customHeight="true" outlineLevel="0" collapsed="false">
      <c r="A221" s="19" t="s">
        <v>523</v>
      </c>
      <c r="B221" s="19" t="s">
        <v>524</v>
      </c>
      <c r="C221" s="20" t="s">
        <v>91</v>
      </c>
      <c r="D221" s="21" t="n">
        <v>818000</v>
      </c>
      <c r="E221" s="21" t="n">
        <v>0.11</v>
      </c>
      <c r="F221" s="22" t="n">
        <v>0.1142</v>
      </c>
      <c r="G221" s="20" t="n">
        <v>24</v>
      </c>
      <c r="H221" s="21" t="n">
        <v>38284.91</v>
      </c>
      <c r="I221" s="23" t="n">
        <v>43232</v>
      </c>
      <c r="J221" s="23" t="n">
        <v>43952</v>
      </c>
      <c r="K221" s="20" t="s">
        <v>94</v>
      </c>
      <c r="L221" s="24" t="n">
        <v>0</v>
      </c>
      <c r="M221" s="25" t="s">
        <v>77</v>
      </c>
      <c r="N221" s="20" t="n">
        <v>681</v>
      </c>
    </row>
    <row r="222" customFormat="false" ht="15" hidden="false" customHeight="true" outlineLevel="0" collapsed="false">
      <c r="A222" s="26" t="s">
        <v>525</v>
      </c>
      <c r="B222" s="26" t="s">
        <v>526</v>
      </c>
      <c r="C222" s="27" t="s">
        <v>80</v>
      </c>
      <c r="D222" s="28" t="n">
        <v>383000</v>
      </c>
      <c r="E222" s="28" t="n">
        <v>293775.76</v>
      </c>
      <c r="F222" s="29" t="n">
        <v>0.1771</v>
      </c>
      <c r="G222" s="27" t="n">
        <v>180</v>
      </c>
      <c r="H222" s="28" t="n">
        <v>6088.17</v>
      </c>
      <c r="I222" s="30" t="n">
        <v>43300</v>
      </c>
      <c r="J222" s="30" t="n">
        <v>48700</v>
      </c>
      <c r="K222" s="27" t="s">
        <v>81</v>
      </c>
      <c r="L222" s="31" t="n">
        <v>0</v>
      </c>
      <c r="M222" s="25" t="s">
        <v>77</v>
      </c>
      <c r="N222" s="27" t="n">
        <v>758</v>
      </c>
    </row>
    <row r="223" customFormat="false" ht="15" hidden="false" customHeight="true" outlineLevel="0" collapsed="false">
      <c r="A223" s="19" t="s">
        <v>527</v>
      </c>
      <c r="B223" s="19" t="s">
        <v>528</v>
      </c>
      <c r="C223" s="20" t="s">
        <v>91</v>
      </c>
      <c r="D223" s="21" t="n">
        <v>744000</v>
      </c>
      <c r="E223" s="21" t="n">
        <v>473216.64</v>
      </c>
      <c r="F223" s="22" t="n">
        <v>0.239</v>
      </c>
      <c r="G223" s="20" t="n">
        <v>48</v>
      </c>
      <c r="H223" s="21" t="n">
        <v>24214.65</v>
      </c>
      <c r="I223" s="23" t="n">
        <v>45460</v>
      </c>
      <c r="J223" s="23" t="n">
        <v>46900</v>
      </c>
      <c r="K223" s="20" t="s">
        <v>81</v>
      </c>
      <c r="L223" s="24" t="n">
        <v>0</v>
      </c>
      <c r="M223" s="25" t="s">
        <v>77</v>
      </c>
      <c r="N223" s="20" t="n">
        <v>673</v>
      </c>
    </row>
    <row r="224" customFormat="false" ht="15" hidden="false" customHeight="true" outlineLevel="0" collapsed="false">
      <c r="A224" s="26" t="s">
        <v>529</v>
      </c>
      <c r="B224" s="26" t="s">
        <v>530</v>
      </c>
      <c r="C224" s="27" t="s">
        <v>80</v>
      </c>
      <c r="D224" s="28" t="n">
        <v>4387000</v>
      </c>
      <c r="E224" s="28" t="n">
        <v>4266240.87</v>
      </c>
      <c r="F224" s="29" t="n">
        <v>0.2378</v>
      </c>
      <c r="G224" s="27" t="n">
        <v>240</v>
      </c>
      <c r="H224" s="28" t="n">
        <v>87726.07</v>
      </c>
      <c r="I224" s="30" t="n">
        <v>44006</v>
      </c>
      <c r="J224" s="30" t="n">
        <v>51206</v>
      </c>
      <c r="K224" s="27" t="s">
        <v>81</v>
      </c>
      <c r="L224" s="31" t="n">
        <v>0</v>
      </c>
      <c r="M224" s="25" t="s">
        <v>77</v>
      </c>
      <c r="N224" s="27" t="n">
        <v>531</v>
      </c>
    </row>
    <row r="225" customFormat="false" ht="15" hidden="false" customHeight="true" outlineLevel="0" collapsed="false">
      <c r="A225" s="19" t="s">
        <v>531</v>
      </c>
      <c r="B225" s="19" t="s">
        <v>532</v>
      </c>
      <c r="C225" s="20" t="s">
        <v>99</v>
      </c>
      <c r="D225" s="21" t="n">
        <v>2165000</v>
      </c>
      <c r="E225" s="21" t="n">
        <v>1199653.64</v>
      </c>
      <c r="F225" s="22" t="n">
        <v>0.1618</v>
      </c>
      <c r="G225" s="20" t="n">
        <v>84</v>
      </c>
      <c r="H225" s="21" t="n">
        <v>43223.62</v>
      </c>
      <c r="I225" s="23" t="n">
        <v>44662</v>
      </c>
      <c r="J225" s="23" t="n">
        <v>47182</v>
      </c>
      <c r="K225" s="20" t="s">
        <v>76</v>
      </c>
      <c r="L225" s="24" t="n">
        <v>0</v>
      </c>
      <c r="M225" s="25" t="s">
        <v>77</v>
      </c>
      <c r="N225" s="20" t="n">
        <v>765</v>
      </c>
    </row>
    <row r="226" customFormat="false" ht="15" hidden="false" customHeight="true" outlineLevel="0" collapsed="false">
      <c r="A226" s="26" t="s">
        <v>533</v>
      </c>
      <c r="B226" s="26" t="s">
        <v>534</v>
      </c>
      <c r="C226" s="27" t="s">
        <v>91</v>
      </c>
      <c r="D226" s="28" t="n">
        <v>960000</v>
      </c>
      <c r="E226" s="28" t="n">
        <v>0</v>
      </c>
      <c r="F226" s="29" t="n">
        <v>0.1684</v>
      </c>
      <c r="G226" s="27" t="n">
        <v>48</v>
      </c>
      <c r="H226" s="28" t="n">
        <v>27621.44</v>
      </c>
      <c r="I226" s="30" t="n">
        <v>44024</v>
      </c>
      <c r="J226" s="30" t="n">
        <v>45464</v>
      </c>
      <c r="K226" s="27" t="s">
        <v>81</v>
      </c>
      <c r="L226" s="31" t="n">
        <v>0</v>
      </c>
      <c r="M226" s="25" t="s">
        <v>77</v>
      </c>
      <c r="N226" s="27" t="n">
        <v>610</v>
      </c>
    </row>
    <row r="227" customFormat="false" ht="15" hidden="false" customHeight="true" outlineLevel="0" collapsed="false">
      <c r="A227" s="19" t="s">
        <v>535</v>
      </c>
      <c r="B227" s="19" t="s">
        <v>536</v>
      </c>
      <c r="C227" s="20" t="s">
        <v>99</v>
      </c>
      <c r="D227" s="21" t="n">
        <v>2809000</v>
      </c>
      <c r="E227" s="21" t="n">
        <v>0</v>
      </c>
      <c r="F227" s="22" t="n">
        <v>0.1058</v>
      </c>
      <c r="G227" s="20" t="n">
        <v>48</v>
      </c>
      <c r="H227" s="21" t="n">
        <v>72028.47</v>
      </c>
      <c r="I227" s="23" t="n">
        <v>44145</v>
      </c>
      <c r="J227" s="23" t="n">
        <v>45585</v>
      </c>
      <c r="K227" s="20" t="s">
        <v>81</v>
      </c>
      <c r="L227" s="24" t="n">
        <v>0</v>
      </c>
      <c r="M227" s="25" t="s">
        <v>77</v>
      </c>
      <c r="N227" s="20" t="n">
        <v>476</v>
      </c>
    </row>
    <row r="228" customFormat="false" ht="15" hidden="false" customHeight="true" outlineLevel="0" collapsed="false">
      <c r="A228" s="26" t="s">
        <v>537</v>
      </c>
      <c r="B228" s="26" t="s">
        <v>538</v>
      </c>
      <c r="C228" s="27" t="s">
        <v>84</v>
      </c>
      <c r="D228" s="28" t="n">
        <v>508000</v>
      </c>
      <c r="E228" s="28" t="n">
        <v>0.02</v>
      </c>
      <c r="F228" s="29" t="n">
        <v>0.1973</v>
      </c>
      <c r="G228" s="27" t="n">
        <v>48</v>
      </c>
      <c r="H228" s="28" t="n">
        <v>15385.64</v>
      </c>
      <c r="I228" s="30" t="n">
        <v>43312</v>
      </c>
      <c r="J228" s="30" t="n">
        <v>44752</v>
      </c>
      <c r="K228" s="27" t="s">
        <v>81</v>
      </c>
      <c r="L228" s="31" t="n">
        <v>0</v>
      </c>
      <c r="M228" s="25" t="s">
        <v>77</v>
      </c>
      <c r="N228" s="27" t="n">
        <v>589</v>
      </c>
    </row>
    <row r="229" customFormat="false" ht="15" hidden="false" customHeight="true" outlineLevel="0" collapsed="false">
      <c r="A229" s="19" t="s">
        <v>539</v>
      </c>
      <c r="B229" s="19" t="s">
        <v>540</v>
      </c>
      <c r="C229" s="20" t="s">
        <v>99</v>
      </c>
      <c r="D229" s="21" t="n">
        <v>3635000</v>
      </c>
      <c r="E229" s="21" t="n">
        <v>3078378</v>
      </c>
      <c r="F229" s="22" t="n">
        <v>0.1716</v>
      </c>
      <c r="G229" s="20" t="n">
        <v>180</v>
      </c>
      <c r="H229" s="21" t="n">
        <v>56355.52</v>
      </c>
      <c r="I229" s="23" t="n">
        <v>43956</v>
      </c>
      <c r="J229" s="23" t="n">
        <v>49356</v>
      </c>
      <c r="K229" s="20" t="s">
        <v>81</v>
      </c>
      <c r="L229" s="24" t="n">
        <v>0</v>
      </c>
      <c r="M229" s="25" t="s">
        <v>77</v>
      </c>
      <c r="N229" s="20" t="n">
        <v>721</v>
      </c>
    </row>
    <row r="230" customFormat="false" ht="15" hidden="false" customHeight="true" outlineLevel="0" collapsed="false">
      <c r="A230" s="26" t="s">
        <v>541</v>
      </c>
      <c r="B230" s="26" t="s">
        <v>542</v>
      </c>
      <c r="C230" s="27" t="s">
        <v>99</v>
      </c>
      <c r="D230" s="28" t="n">
        <v>4812000</v>
      </c>
      <c r="E230" s="28" t="n">
        <v>3776269.83</v>
      </c>
      <c r="F230" s="29" t="n">
        <v>0.1032</v>
      </c>
      <c r="G230" s="27" t="n">
        <v>180</v>
      </c>
      <c r="H230" s="28" t="n">
        <v>52656.09</v>
      </c>
      <c r="I230" s="30" t="n">
        <v>44094</v>
      </c>
      <c r="J230" s="30" t="n">
        <v>49494</v>
      </c>
      <c r="K230" s="27" t="s">
        <v>94</v>
      </c>
      <c r="L230" s="31" t="n">
        <v>0</v>
      </c>
      <c r="M230" s="25" t="s">
        <v>77</v>
      </c>
      <c r="N230" s="27" t="n">
        <v>795</v>
      </c>
    </row>
    <row r="231" customFormat="false" ht="15" hidden="false" customHeight="true" outlineLevel="0" collapsed="false">
      <c r="A231" s="19" t="s">
        <v>543</v>
      </c>
      <c r="B231" s="19" t="s">
        <v>544</v>
      </c>
      <c r="C231" s="20" t="s">
        <v>75</v>
      </c>
      <c r="D231" s="21" t="n">
        <v>2692000</v>
      </c>
      <c r="E231" s="21" t="n">
        <v>476408.53</v>
      </c>
      <c r="F231" s="22" t="n">
        <v>0.1407</v>
      </c>
      <c r="G231" s="20" t="n">
        <v>60</v>
      </c>
      <c r="H231" s="21" t="n">
        <v>62735.87</v>
      </c>
      <c r="I231" s="23" t="n">
        <v>44574</v>
      </c>
      <c r="J231" s="23" t="n">
        <v>46374</v>
      </c>
      <c r="K231" s="20" t="s">
        <v>76</v>
      </c>
      <c r="L231" s="24" t="n">
        <v>0</v>
      </c>
      <c r="M231" s="25" t="s">
        <v>77</v>
      </c>
      <c r="N231" s="20" t="n">
        <v>682</v>
      </c>
    </row>
    <row r="232" customFormat="false" ht="15" hidden="false" customHeight="true" outlineLevel="0" collapsed="false">
      <c r="A232" s="26" t="s">
        <v>545</v>
      </c>
      <c r="B232" s="26" t="s">
        <v>546</v>
      </c>
      <c r="C232" s="27" t="s">
        <v>91</v>
      </c>
      <c r="D232" s="28" t="n">
        <v>4207000</v>
      </c>
      <c r="E232" s="28" t="n">
        <v>1983934.68</v>
      </c>
      <c r="F232" s="29" t="n">
        <v>0.2267</v>
      </c>
      <c r="G232" s="27" t="n">
        <v>84</v>
      </c>
      <c r="H232" s="28" t="n">
        <v>100300.59</v>
      </c>
      <c r="I232" s="30" t="n">
        <v>44382</v>
      </c>
      <c r="J232" s="30" t="n">
        <v>46902</v>
      </c>
      <c r="K232" s="27" t="s">
        <v>81</v>
      </c>
      <c r="L232" s="38" t="n">
        <v>1</v>
      </c>
      <c r="M232" s="36" t="s">
        <v>286</v>
      </c>
      <c r="N232" s="27" t="n">
        <v>592</v>
      </c>
    </row>
    <row r="233" customFormat="false" ht="15" hidden="false" customHeight="true" outlineLevel="0" collapsed="false">
      <c r="A233" s="19" t="s">
        <v>547</v>
      </c>
      <c r="B233" s="19" t="s">
        <v>548</v>
      </c>
      <c r="C233" s="20" t="s">
        <v>80</v>
      </c>
      <c r="D233" s="21" t="n">
        <v>2917000</v>
      </c>
      <c r="E233" s="21" t="n">
        <v>0.2</v>
      </c>
      <c r="F233" s="22" t="n">
        <v>0.1497</v>
      </c>
      <c r="G233" s="20" t="n">
        <v>36</v>
      </c>
      <c r="H233" s="21" t="n">
        <v>101075.91</v>
      </c>
      <c r="I233" s="23" t="n">
        <v>43904</v>
      </c>
      <c r="J233" s="23" t="n">
        <v>44984</v>
      </c>
      <c r="K233" s="20" t="s">
        <v>81</v>
      </c>
      <c r="L233" s="24" t="n">
        <v>0</v>
      </c>
      <c r="M233" s="25" t="s">
        <v>77</v>
      </c>
      <c r="N233" s="20" t="n">
        <v>657</v>
      </c>
    </row>
    <row r="234" customFormat="false" ht="15" hidden="false" customHeight="true" outlineLevel="0" collapsed="false">
      <c r="A234" s="26" t="s">
        <v>549</v>
      </c>
      <c r="B234" s="26" t="s">
        <v>550</v>
      </c>
      <c r="C234" s="27" t="s">
        <v>91</v>
      </c>
      <c r="D234" s="28" t="n">
        <v>3290000</v>
      </c>
      <c r="E234" s="28" t="n">
        <v>1753033.26</v>
      </c>
      <c r="F234" s="29" t="n">
        <v>0.1912</v>
      </c>
      <c r="G234" s="27" t="n">
        <v>60</v>
      </c>
      <c r="H234" s="28" t="n">
        <v>85561.79</v>
      </c>
      <c r="I234" s="30" t="n">
        <v>45102</v>
      </c>
      <c r="J234" s="30" t="n">
        <v>46902</v>
      </c>
      <c r="K234" s="27" t="s">
        <v>94</v>
      </c>
      <c r="L234" s="31" t="n">
        <v>0</v>
      </c>
      <c r="M234" s="25" t="s">
        <v>77</v>
      </c>
      <c r="N234" s="27" t="n">
        <v>850</v>
      </c>
    </row>
    <row r="235" customFormat="false" ht="15" hidden="false" customHeight="true" outlineLevel="0" collapsed="false">
      <c r="A235" s="19" t="s">
        <v>551</v>
      </c>
      <c r="B235" s="19" t="s">
        <v>552</v>
      </c>
      <c r="C235" s="20" t="s">
        <v>84</v>
      </c>
      <c r="D235" s="21" t="n">
        <v>2755000</v>
      </c>
      <c r="E235" s="21" t="n">
        <v>2297983.49</v>
      </c>
      <c r="F235" s="22" t="n">
        <v>0.1135</v>
      </c>
      <c r="G235" s="20" t="n">
        <v>240</v>
      </c>
      <c r="H235" s="21" t="n">
        <v>29095.91</v>
      </c>
      <c r="I235" s="23" t="n">
        <v>43341</v>
      </c>
      <c r="J235" s="23" t="n">
        <v>50541</v>
      </c>
      <c r="K235" s="20" t="s">
        <v>76</v>
      </c>
      <c r="L235" s="24" t="n">
        <v>0</v>
      </c>
      <c r="M235" s="25" t="s">
        <v>77</v>
      </c>
      <c r="N235" s="20" t="n">
        <v>643</v>
      </c>
    </row>
    <row r="236" customFormat="false" ht="15" hidden="false" customHeight="true" outlineLevel="0" collapsed="false">
      <c r="A236" s="26" t="s">
        <v>553</v>
      </c>
      <c r="B236" s="26" t="s">
        <v>554</v>
      </c>
      <c r="C236" s="27" t="s">
        <v>80</v>
      </c>
      <c r="D236" s="28" t="n">
        <v>82000</v>
      </c>
      <c r="E236" s="28" t="n">
        <v>0</v>
      </c>
      <c r="F236" s="29" t="n">
        <v>0.1063</v>
      </c>
      <c r="G236" s="27" t="n">
        <v>48</v>
      </c>
      <c r="H236" s="28" t="n">
        <v>2104.63</v>
      </c>
      <c r="I236" s="30" t="n">
        <v>43379</v>
      </c>
      <c r="J236" s="30" t="n">
        <v>44819</v>
      </c>
      <c r="K236" s="27" t="s">
        <v>94</v>
      </c>
      <c r="L236" s="31" t="n">
        <v>0</v>
      </c>
      <c r="M236" s="25" t="s">
        <v>77</v>
      </c>
      <c r="N236" s="27" t="n">
        <v>705</v>
      </c>
    </row>
    <row r="237" customFormat="false" ht="15" hidden="false" customHeight="true" outlineLevel="0" collapsed="false">
      <c r="A237" s="19" t="s">
        <v>555</v>
      </c>
      <c r="B237" s="19" t="s">
        <v>556</v>
      </c>
      <c r="C237" s="20" t="s">
        <v>91</v>
      </c>
      <c r="D237" s="21" t="n">
        <v>3102000</v>
      </c>
      <c r="E237" s="21" t="n">
        <v>2247806.14</v>
      </c>
      <c r="F237" s="22" t="n">
        <v>0.1599</v>
      </c>
      <c r="G237" s="20" t="n">
        <v>180</v>
      </c>
      <c r="H237" s="21" t="n">
        <v>45537.47</v>
      </c>
      <c r="I237" s="23" t="n">
        <v>43165</v>
      </c>
      <c r="J237" s="23" t="n">
        <v>48565</v>
      </c>
      <c r="K237" s="20" t="s">
        <v>81</v>
      </c>
      <c r="L237" s="24" t="n">
        <v>0</v>
      </c>
      <c r="M237" s="25" t="s">
        <v>77</v>
      </c>
      <c r="N237" s="20" t="n">
        <v>582</v>
      </c>
    </row>
    <row r="238" customFormat="false" ht="15" hidden="false" customHeight="true" outlineLevel="0" collapsed="false">
      <c r="A238" s="26" t="s">
        <v>557</v>
      </c>
      <c r="B238" s="26" t="s">
        <v>558</v>
      </c>
      <c r="C238" s="27" t="s">
        <v>91</v>
      </c>
      <c r="D238" s="28" t="n">
        <v>1410000</v>
      </c>
      <c r="E238" s="28" t="n">
        <v>0.02</v>
      </c>
      <c r="F238" s="29" t="n">
        <v>0.2365</v>
      </c>
      <c r="G238" s="27" t="n">
        <v>12</v>
      </c>
      <c r="H238" s="28" t="n">
        <v>133090.32</v>
      </c>
      <c r="I238" s="30" t="n">
        <v>45158</v>
      </c>
      <c r="J238" s="30" t="n">
        <v>45518</v>
      </c>
      <c r="K238" s="27" t="s">
        <v>94</v>
      </c>
      <c r="L238" s="31" t="n">
        <v>0</v>
      </c>
      <c r="M238" s="25" t="s">
        <v>77</v>
      </c>
      <c r="N238" s="27" t="n">
        <v>589</v>
      </c>
    </row>
    <row r="239" customFormat="false" ht="15" hidden="false" customHeight="true" outlineLevel="0" collapsed="false">
      <c r="A239" s="19" t="s">
        <v>559</v>
      </c>
      <c r="B239" s="19" t="s">
        <v>560</v>
      </c>
      <c r="C239" s="20" t="s">
        <v>80</v>
      </c>
      <c r="D239" s="21" t="n">
        <v>1000000</v>
      </c>
      <c r="E239" s="21" t="n">
        <v>335982.75</v>
      </c>
      <c r="F239" s="22" t="n">
        <v>0.1666</v>
      </c>
      <c r="G239" s="20" t="n">
        <v>84</v>
      </c>
      <c r="H239" s="21" t="n">
        <v>20239.8</v>
      </c>
      <c r="I239" s="23" t="n">
        <v>44195</v>
      </c>
      <c r="J239" s="23" t="n">
        <v>46715</v>
      </c>
      <c r="K239" s="20" t="s">
        <v>81</v>
      </c>
      <c r="L239" s="24" t="n">
        <v>0</v>
      </c>
      <c r="M239" s="33" t="s">
        <v>111</v>
      </c>
      <c r="N239" s="20" t="n">
        <v>707</v>
      </c>
    </row>
    <row r="240" customFormat="false" ht="15" hidden="false" customHeight="true" outlineLevel="0" collapsed="false">
      <c r="A240" s="26" t="s">
        <v>561</v>
      </c>
      <c r="B240" s="26" t="s">
        <v>562</v>
      </c>
      <c r="C240" s="27" t="s">
        <v>75</v>
      </c>
      <c r="D240" s="28" t="n">
        <v>4952000</v>
      </c>
      <c r="E240" s="28" t="n">
        <v>0.12</v>
      </c>
      <c r="F240" s="29" t="n">
        <v>0.12</v>
      </c>
      <c r="G240" s="27" t="n">
        <v>24</v>
      </c>
      <c r="H240" s="28" t="n">
        <v>233107.83</v>
      </c>
      <c r="I240" s="30" t="n">
        <v>43230</v>
      </c>
      <c r="J240" s="30" t="n">
        <v>43950</v>
      </c>
      <c r="K240" s="27" t="s">
        <v>81</v>
      </c>
      <c r="L240" s="31" t="n">
        <v>0</v>
      </c>
      <c r="M240" s="25" t="s">
        <v>77</v>
      </c>
      <c r="N240" s="27" t="n">
        <v>695</v>
      </c>
    </row>
    <row r="241" customFormat="false" ht="15" hidden="false" customHeight="true" outlineLevel="0" collapsed="false">
      <c r="A241" s="19" t="s">
        <v>563</v>
      </c>
      <c r="B241" s="19" t="s">
        <v>564</v>
      </c>
      <c r="C241" s="20" t="s">
        <v>80</v>
      </c>
      <c r="D241" s="21" t="n">
        <v>2524000</v>
      </c>
      <c r="E241" s="21" t="n">
        <v>2050588.75</v>
      </c>
      <c r="F241" s="22" t="n">
        <v>0.1523</v>
      </c>
      <c r="G241" s="20" t="n">
        <v>84</v>
      </c>
      <c r="H241" s="21" t="n">
        <v>49031.28</v>
      </c>
      <c r="I241" s="23" t="n">
        <v>45418</v>
      </c>
      <c r="J241" s="23" t="n">
        <v>47938</v>
      </c>
      <c r="K241" s="20" t="s">
        <v>81</v>
      </c>
      <c r="L241" s="24" t="n">
        <v>0</v>
      </c>
      <c r="M241" s="33" t="s">
        <v>111</v>
      </c>
      <c r="N241" s="20" t="n">
        <v>718</v>
      </c>
    </row>
    <row r="242" customFormat="false" ht="15" hidden="false" customHeight="true" outlineLevel="0" collapsed="false">
      <c r="A242" s="26" t="s">
        <v>565</v>
      </c>
      <c r="B242" s="26" t="s">
        <v>566</v>
      </c>
      <c r="C242" s="27" t="s">
        <v>80</v>
      </c>
      <c r="D242" s="28" t="n">
        <v>4347000</v>
      </c>
      <c r="E242" s="28" t="n">
        <v>3967018.94</v>
      </c>
      <c r="F242" s="29" t="n">
        <v>0.2226</v>
      </c>
      <c r="G242" s="27" t="n">
        <v>180</v>
      </c>
      <c r="H242" s="28" t="n">
        <v>83698.05</v>
      </c>
      <c r="I242" s="30" t="n">
        <v>44211</v>
      </c>
      <c r="J242" s="30" t="n">
        <v>49611</v>
      </c>
      <c r="K242" s="27" t="s">
        <v>81</v>
      </c>
      <c r="L242" s="31" t="n">
        <v>0</v>
      </c>
      <c r="M242" s="25" t="s">
        <v>77</v>
      </c>
      <c r="N242" s="27" t="n">
        <v>672</v>
      </c>
    </row>
    <row r="243" customFormat="false" ht="15" hidden="false" customHeight="true" outlineLevel="0" collapsed="false">
      <c r="A243" s="19" t="s">
        <v>567</v>
      </c>
      <c r="B243" s="19" t="s">
        <v>568</v>
      </c>
      <c r="C243" s="20" t="s">
        <v>99</v>
      </c>
      <c r="D243" s="21" t="n">
        <v>4647000</v>
      </c>
      <c r="E243" s="21" t="n">
        <v>0.08</v>
      </c>
      <c r="F243" s="22" t="n">
        <v>0.1337</v>
      </c>
      <c r="G243" s="20" t="n">
        <v>48</v>
      </c>
      <c r="H243" s="21" t="n">
        <v>125522.44</v>
      </c>
      <c r="I243" s="23" t="n">
        <v>43691</v>
      </c>
      <c r="J243" s="23" t="n">
        <v>45131</v>
      </c>
      <c r="K243" s="20" t="s">
        <v>94</v>
      </c>
      <c r="L243" s="24" t="n">
        <v>0</v>
      </c>
      <c r="M243" s="33" t="s">
        <v>111</v>
      </c>
      <c r="N243" s="20" t="n">
        <v>650</v>
      </c>
    </row>
    <row r="244" customFormat="false" ht="15" hidden="false" customHeight="true" outlineLevel="0" collapsed="false">
      <c r="A244" s="26" t="s">
        <v>569</v>
      </c>
      <c r="B244" s="26" t="s">
        <v>570</v>
      </c>
      <c r="C244" s="27" t="s">
        <v>80</v>
      </c>
      <c r="D244" s="28" t="n">
        <v>1240000</v>
      </c>
      <c r="E244" s="28" t="n">
        <v>1132052.91</v>
      </c>
      <c r="F244" s="29" t="n">
        <v>0.2144</v>
      </c>
      <c r="G244" s="27" t="n">
        <v>120</v>
      </c>
      <c r="H244" s="28" t="n">
        <v>25159.3</v>
      </c>
      <c r="I244" s="30" t="n">
        <v>45315</v>
      </c>
      <c r="J244" s="30" t="n">
        <v>48915</v>
      </c>
      <c r="K244" s="27" t="s">
        <v>81</v>
      </c>
      <c r="L244" s="31" t="n">
        <v>0</v>
      </c>
      <c r="M244" s="25" t="s">
        <v>77</v>
      </c>
      <c r="N244" s="27" t="n">
        <v>661</v>
      </c>
    </row>
    <row r="245" customFormat="false" ht="15" hidden="false" customHeight="true" outlineLevel="0" collapsed="false">
      <c r="A245" s="19" t="s">
        <v>571</v>
      </c>
      <c r="B245" s="19" t="s">
        <v>572</v>
      </c>
      <c r="C245" s="20" t="s">
        <v>75</v>
      </c>
      <c r="D245" s="21" t="n">
        <v>316000</v>
      </c>
      <c r="E245" s="21" t="n">
        <v>0</v>
      </c>
      <c r="F245" s="22" t="n">
        <v>0.1527</v>
      </c>
      <c r="G245" s="20" t="n">
        <v>24</v>
      </c>
      <c r="H245" s="21" t="n">
        <v>15362.35</v>
      </c>
      <c r="I245" s="23" t="n">
        <v>44496</v>
      </c>
      <c r="J245" s="23" t="n">
        <v>45216</v>
      </c>
      <c r="K245" s="20" t="s">
        <v>76</v>
      </c>
      <c r="L245" s="24" t="n">
        <v>0</v>
      </c>
      <c r="M245" s="33" t="s">
        <v>111</v>
      </c>
      <c r="N245" s="20" t="n">
        <v>453</v>
      </c>
    </row>
    <row r="246" customFormat="false" ht="15" hidden="false" customHeight="true" outlineLevel="0" collapsed="false">
      <c r="A246" s="26" t="s">
        <v>573</v>
      </c>
      <c r="B246" s="26" t="s">
        <v>574</v>
      </c>
      <c r="C246" s="27" t="s">
        <v>99</v>
      </c>
      <c r="D246" s="28" t="n">
        <v>1666000</v>
      </c>
      <c r="E246" s="28" t="n">
        <v>1584531.26</v>
      </c>
      <c r="F246" s="29" t="n">
        <v>0.1833</v>
      </c>
      <c r="G246" s="27" t="n">
        <v>180</v>
      </c>
      <c r="H246" s="28" t="n">
        <v>27226.11</v>
      </c>
      <c r="I246" s="30" t="n">
        <v>45110</v>
      </c>
      <c r="J246" s="30" t="n">
        <v>50510</v>
      </c>
      <c r="K246" s="27" t="s">
        <v>81</v>
      </c>
      <c r="L246" s="31" t="n">
        <v>0</v>
      </c>
      <c r="M246" s="33" t="s">
        <v>111</v>
      </c>
      <c r="N246" s="27" t="n">
        <v>668</v>
      </c>
    </row>
    <row r="247" customFormat="false" ht="15" hidden="false" customHeight="true" outlineLevel="0" collapsed="false">
      <c r="A247" s="19" t="s">
        <v>575</v>
      </c>
      <c r="B247" s="19" t="s">
        <v>576</v>
      </c>
      <c r="C247" s="20" t="s">
        <v>80</v>
      </c>
      <c r="D247" s="21" t="n">
        <v>3872000</v>
      </c>
      <c r="E247" s="21" t="n">
        <v>0.11</v>
      </c>
      <c r="F247" s="22" t="n">
        <v>0.1308</v>
      </c>
      <c r="G247" s="20" t="n">
        <v>48</v>
      </c>
      <c r="H247" s="21" t="n">
        <v>104029.87</v>
      </c>
      <c r="I247" s="23" t="n">
        <v>43402</v>
      </c>
      <c r="J247" s="23" t="n">
        <v>44842</v>
      </c>
      <c r="K247" s="20" t="s">
        <v>81</v>
      </c>
      <c r="L247" s="24" t="n">
        <v>0</v>
      </c>
      <c r="M247" s="25" t="s">
        <v>77</v>
      </c>
      <c r="N247" s="20" t="n">
        <v>602</v>
      </c>
    </row>
    <row r="248" customFormat="false" ht="15" hidden="false" customHeight="true" outlineLevel="0" collapsed="false">
      <c r="A248" s="26" t="s">
        <v>577</v>
      </c>
      <c r="B248" s="26" t="s">
        <v>578</v>
      </c>
      <c r="C248" s="27" t="s">
        <v>80</v>
      </c>
      <c r="D248" s="28" t="n">
        <v>1979000</v>
      </c>
      <c r="E248" s="28" t="n">
        <v>0</v>
      </c>
      <c r="F248" s="29" t="n">
        <v>0.1409</v>
      </c>
      <c r="G248" s="27" t="n">
        <v>24</v>
      </c>
      <c r="H248" s="28" t="n">
        <v>95101.66</v>
      </c>
      <c r="I248" s="30" t="n">
        <v>43122</v>
      </c>
      <c r="J248" s="30" t="n">
        <v>43842</v>
      </c>
      <c r="K248" s="27" t="s">
        <v>81</v>
      </c>
      <c r="L248" s="31" t="n">
        <v>0</v>
      </c>
      <c r="M248" s="25" t="s">
        <v>77</v>
      </c>
      <c r="N248" s="27" t="n">
        <v>629</v>
      </c>
    </row>
    <row r="249" customFormat="false" ht="15" hidden="false" customHeight="true" outlineLevel="0" collapsed="false">
      <c r="A249" s="19" t="s">
        <v>579</v>
      </c>
      <c r="B249" s="19" t="s">
        <v>580</v>
      </c>
      <c r="C249" s="20" t="s">
        <v>80</v>
      </c>
      <c r="D249" s="21" t="n">
        <v>2796000</v>
      </c>
      <c r="E249" s="21" t="n">
        <v>0</v>
      </c>
      <c r="F249" s="22" t="n">
        <v>0.1482</v>
      </c>
      <c r="G249" s="20" t="n">
        <v>12</v>
      </c>
      <c r="H249" s="21" t="n">
        <v>252124.82</v>
      </c>
      <c r="I249" s="23" t="n">
        <v>43468</v>
      </c>
      <c r="J249" s="23" t="n">
        <v>43828</v>
      </c>
      <c r="K249" s="20" t="s">
        <v>81</v>
      </c>
      <c r="L249" s="24" t="n">
        <v>0</v>
      </c>
      <c r="M249" s="25" t="s">
        <v>77</v>
      </c>
      <c r="N249" s="20" t="n">
        <v>703</v>
      </c>
    </row>
    <row r="250" customFormat="false" ht="15" hidden="false" customHeight="true" outlineLevel="0" collapsed="false">
      <c r="A250" s="26" t="s">
        <v>581</v>
      </c>
      <c r="B250" s="26" t="s">
        <v>582</v>
      </c>
      <c r="C250" s="27" t="s">
        <v>99</v>
      </c>
      <c r="D250" s="28" t="n">
        <v>111000</v>
      </c>
      <c r="E250" s="28" t="n">
        <v>0.08</v>
      </c>
      <c r="F250" s="29" t="n">
        <v>0.1491</v>
      </c>
      <c r="G250" s="27" t="n">
        <v>24</v>
      </c>
      <c r="H250" s="28" t="n">
        <v>5377.27</v>
      </c>
      <c r="I250" s="30" t="n">
        <v>45392</v>
      </c>
      <c r="J250" s="30" t="n">
        <v>46112</v>
      </c>
      <c r="K250" s="27" t="s">
        <v>81</v>
      </c>
      <c r="L250" s="31" t="n">
        <v>0</v>
      </c>
      <c r="M250" s="25" t="s">
        <v>77</v>
      </c>
      <c r="N250" s="27" t="n">
        <v>750</v>
      </c>
    </row>
    <row r="251" customFormat="false" ht="15" hidden="false" customHeight="true" outlineLevel="0" collapsed="false">
      <c r="A251" s="19" t="s">
        <v>583</v>
      </c>
      <c r="B251" s="19" t="s">
        <v>584</v>
      </c>
      <c r="C251" s="20" t="s">
        <v>80</v>
      </c>
      <c r="D251" s="21" t="n">
        <v>772000</v>
      </c>
      <c r="E251" s="21" t="n">
        <v>249099.58</v>
      </c>
      <c r="F251" s="22" t="n">
        <v>0.1109</v>
      </c>
      <c r="G251" s="20" t="n">
        <v>60</v>
      </c>
      <c r="H251" s="21" t="n">
        <v>16819.82</v>
      </c>
      <c r="I251" s="23" t="n">
        <v>44825</v>
      </c>
      <c r="J251" s="23" t="n">
        <v>46625</v>
      </c>
      <c r="K251" s="20" t="s">
        <v>81</v>
      </c>
      <c r="L251" s="24" t="n">
        <v>0</v>
      </c>
      <c r="M251" s="25" t="s">
        <v>77</v>
      </c>
      <c r="N251" s="20" t="n">
        <v>662</v>
      </c>
    </row>
    <row r="252" customFormat="false" ht="15" hidden="false" customHeight="true" outlineLevel="0" collapsed="false">
      <c r="A252" s="26" t="s">
        <v>585</v>
      </c>
      <c r="B252" s="26" t="s">
        <v>586</v>
      </c>
      <c r="C252" s="27" t="s">
        <v>99</v>
      </c>
      <c r="D252" s="28" t="n">
        <v>3618000</v>
      </c>
      <c r="E252" s="28" t="n">
        <v>866370.05</v>
      </c>
      <c r="F252" s="29" t="n">
        <v>0.1618</v>
      </c>
      <c r="G252" s="27" t="n">
        <v>48</v>
      </c>
      <c r="H252" s="28" t="n">
        <v>102868.98</v>
      </c>
      <c r="I252" s="30" t="n">
        <v>44976</v>
      </c>
      <c r="J252" s="30" t="n">
        <v>46416</v>
      </c>
      <c r="K252" s="27" t="s">
        <v>81</v>
      </c>
      <c r="L252" s="31" t="n">
        <v>0</v>
      </c>
      <c r="M252" s="25" t="s">
        <v>77</v>
      </c>
      <c r="N252" s="27" t="n">
        <v>732</v>
      </c>
    </row>
    <row r="253" customFormat="false" ht="15" hidden="false" customHeight="true" outlineLevel="0" collapsed="false">
      <c r="A253" s="19" t="s">
        <v>587</v>
      </c>
      <c r="B253" s="19" t="s">
        <v>588</v>
      </c>
      <c r="C253" s="20" t="s">
        <v>91</v>
      </c>
      <c r="D253" s="21" t="n">
        <v>1681000</v>
      </c>
      <c r="E253" s="21" t="n">
        <v>0.1</v>
      </c>
      <c r="F253" s="22" t="n">
        <v>0.1369</v>
      </c>
      <c r="G253" s="20" t="n">
        <v>36</v>
      </c>
      <c r="H253" s="21" t="n">
        <v>57199.82</v>
      </c>
      <c r="I253" s="23" t="n">
        <v>44331</v>
      </c>
      <c r="J253" s="23" t="n">
        <v>45411</v>
      </c>
      <c r="K253" s="20" t="s">
        <v>81</v>
      </c>
      <c r="L253" s="24" t="n">
        <v>0</v>
      </c>
      <c r="M253" s="25" t="s">
        <v>77</v>
      </c>
      <c r="N253" s="20" t="n">
        <v>564</v>
      </c>
    </row>
    <row r="254" customFormat="false" ht="15" hidden="false" customHeight="true" outlineLevel="0" collapsed="false">
      <c r="A254" s="26" t="s">
        <v>589</v>
      </c>
      <c r="B254" s="26" t="s">
        <v>590</v>
      </c>
      <c r="C254" s="27" t="s">
        <v>91</v>
      </c>
      <c r="D254" s="28" t="n">
        <v>4825000</v>
      </c>
      <c r="E254" s="28" t="n">
        <v>2779413.44</v>
      </c>
      <c r="F254" s="29" t="n">
        <v>0.2352</v>
      </c>
      <c r="G254" s="27" t="n">
        <v>60</v>
      </c>
      <c r="H254" s="28" t="n">
        <v>137464.41</v>
      </c>
      <c r="I254" s="30" t="n">
        <v>45112</v>
      </c>
      <c r="J254" s="30" t="n">
        <v>46912</v>
      </c>
      <c r="K254" s="27" t="s">
        <v>76</v>
      </c>
      <c r="L254" s="31" t="n">
        <v>0</v>
      </c>
      <c r="M254" s="25" t="s">
        <v>77</v>
      </c>
      <c r="N254" s="27" t="n">
        <v>570</v>
      </c>
    </row>
    <row r="255" customFormat="false" ht="15" hidden="false" customHeight="true" outlineLevel="0" collapsed="false">
      <c r="A255" s="19" t="s">
        <v>591</v>
      </c>
      <c r="B255" s="19" t="s">
        <v>592</v>
      </c>
      <c r="C255" s="20" t="s">
        <v>84</v>
      </c>
      <c r="D255" s="21" t="n">
        <v>2841000</v>
      </c>
      <c r="E255" s="21" t="n">
        <v>2658584.51</v>
      </c>
      <c r="F255" s="22" t="n">
        <v>0.1768</v>
      </c>
      <c r="G255" s="20" t="n">
        <v>240</v>
      </c>
      <c r="H255" s="21" t="n">
        <v>43147.1</v>
      </c>
      <c r="I255" s="23" t="n">
        <v>43837</v>
      </c>
      <c r="J255" s="23" t="n">
        <v>51037</v>
      </c>
      <c r="K255" s="20" t="s">
        <v>94</v>
      </c>
      <c r="L255" s="24" t="n">
        <v>0</v>
      </c>
      <c r="M255" s="25" t="s">
        <v>77</v>
      </c>
      <c r="N255" s="20" t="n">
        <v>639</v>
      </c>
    </row>
    <row r="256" customFormat="false" ht="15" hidden="false" customHeight="true" outlineLevel="0" collapsed="false">
      <c r="A256" s="26" t="s">
        <v>593</v>
      </c>
      <c r="B256" s="26" t="s">
        <v>594</v>
      </c>
      <c r="C256" s="27" t="s">
        <v>91</v>
      </c>
      <c r="D256" s="28" t="n">
        <v>3556000</v>
      </c>
      <c r="E256" s="28" t="n">
        <v>0</v>
      </c>
      <c r="F256" s="29" t="n">
        <v>0.153</v>
      </c>
      <c r="G256" s="27" t="n">
        <v>60</v>
      </c>
      <c r="H256" s="28" t="n">
        <v>85158</v>
      </c>
      <c r="I256" s="30" t="n">
        <v>43384</v>
      </c>
      <c r="J256" s="30" t="n">
        <v>45184</v>
      </c>
      <c r="K256" s="27" t="s">
        <v>81</v>
      </c>
      <c r="L256" s="31" t="n">
        <v>0</v>
      </c>
      <c r="M256" s="25" t="s">
        <v>77</v>
      </c>
      <c r="N256" s="27" t="n">
        <v>694</v>
      </c>
    </row>
    <row r="257" customFormat="false" ht="15" hidden="false" customHeight="true" outlineLevel="0" collapsed="false">
      <c r="A257" s="19" t="s">
        <v>595</v>
      </c>
      <c r="B257" s="19" t="s">
        <v>596</v>
      </c>
      <c r="C257" s="20" t="s">
        <v>80</v>
      </c>
      <c r="D257" s="21" t="n">
        <v>3956000</v>
      </c>
      <c r="E257" s="21" t="n">
        <v>3395800.7</v>
      </c>
      <c r="F257" s="22" t="n">
        <v>0.0965</v>
      </c>
      <c r="G257" s="20" t="n">
        <v>180</v>
      </c>
      <c r="H257" s="21" t="n">
        <v>41668.35</v>
      </c>
      <c r="I257" s="23" t="n">
        <v>44742</v>
      </c>
      <c r="J257" s="23" t="n">
        <v>50142</v>
      </c>
      <c r="K257" s="20" t="s">
        <v>76</v>
      </c>
      <c r="L257" s="24" t="n">
        <v>0</v>
      </c>
      <c r="M257" s="33" t="s">
        <v>111</v>
      </c>
      <c r="N257" s="20" t="n">
        <v>601</v>
      </c>
    </row>
    <row r="258" customFormat="false" ht="15" hidden="false" customHeight="true" outlineLevel="0" collapsed="false">
      <c r="A258" s="26" t="s">
        <v>597</v>
      </c>
      <c r="B258" s="26" t="s">
        <v>598</v>
      </c>
      <c r="C258" s="27" t="s">
        <v>91</v>
      </c>
      <c r="D258" s="28" t="n">
        <v>232000</v>
      </c>
      <c r="E258" s="28" t="n">
        <v>221469.12</v>
      </c>
      <c r="F258" s="29" t="n">
        <v>0.2351</v>
      </c>
      <c r="G258" s="27" t="n">
        <v>240</v>
      </c>
      <c r="H258" s="28" t="n">
        <v>4588.86</v>
      </c>
      <c r="I258" s="30" t="n">
        <v>43449</v>
      </c>
      <c r="J258" s="30" t="n">
        <v>50649</v>
      </c>
      <c r="K258" s="27" t="s">
        <v>81</v>
      </c>
      <c r="L258" s="31" t="n">
        <v>0</v>
      </c>
      <c r="M258" s="25" t="s">
        <v>77</v>
      </c>
      <c r="N258" s="27" t="n">
        <v>563</v>
      </c>
    </row>
    <row r="259" customFormat="false" ht="15" hidden="false" customHeight="true" outlineLevel="0" collapsed="false">
      <c r="A259" s="19" t="s">
        <v>599</v>
      </c>
      <c r="B259" s="19" t="s">
        <v>600</v>
      </c>
      <c r="C259" s="20" t="s">
        <v>80</v>
      </c>
      <c r="D259" s="21" t="n">
        <v>3243000</v>
      </c>
      <c r="E259" s="21" t="n">
        <v>2089400.45</v>
      </c>
      <c r="F259" s="22" t="n">
        <v>0.1852</v>
      </c>
      <c r="G259" s="20" t="n">
        <v>84</v>
      </c>
      <c r="H259" s="21" t="n">
        <v>69152.84</v>
      </c>
      <c r="I259" s="23" t="n">
        <v>44864</v>
      </c>
      <c r="J259" s="23" t="n">
        <v>47384</v>
      </c>
      <c r="K259" s="20" t="s">
        <v>81</v>
      </c>
      <c r="L259" s="37" t="n">
        <v>1</v>
      </c>
      <c r="M259" s="32" t="s">
        <v>104</v>
      </c>
      <c r="N259" s="20" t="n">
        <v>591</v>
      </c>
    </row>
    <row r="260" customFormat="false" ht="15" hidden="false" customHeight="true" outlineLevel="0" collapsed="false">
      <c r="A260" s="26" t="s">
        <v>601</v>
      </c>
      <c r="B260" s="26" t="s">
        <v>602</v>
      </c>
      <c r="C260" s="27" t="s">
        <v>91</v>
      </c>
      <c r="D260" s="28" t="n">
        <v>2618000</v>
      </c>
      <c r="E260" s="28" t="n">
        <v>503739.83</v>
      </c>
      <c r="F260" s="29" t="n">
        <v>0.175</v>
      </c>
      <c r="G260" s="27" t="n">
        <v>48</v>
      </c>
      <c r="H260" s="28" t="n">
        <v>76221.43</v>
      </c>
      <c r="I260" s="30" t="n">
        <v>44926</v>
      </c>
      <c r="J260" s="30" t="n">
        <v>46366</v>
      </c>
      <c r="K260" s="27" t="s">
        <v>81</v>
      </c>
      <c r="L260" s="31" t="n">
        <v>0</v>
      </c>
      <c r="M260" s="25" t="s">
        <v>77</v>
      </c>
      <c r="N260" s="27" t="n">
        <v>603</v>
      </c>
    </row>
    <row r="261" customFormat="false" ht="15" hidden="false" customHeight="true" outlineLevel="0" collapsed="false">
      <c r="A261" s="19" t="s">
        <v>603</v>
      </c>
      <c r="B261" s="19" t="s">
        <v>604</v>
      </c>
      <c r="C261" s="20" t="s">
        <v>75</v>
      </c>
      <c r="D261" s="21" t="n">
        <v>2440000</v>
      </c>
      <c r="E261" s="21" t="n">
        <v>0.14</v>
      </c>
      <c r="F261" s="22" t="n">
        <v>0.1308</v>
      </c>
      <c r="G261" s="20" t="n">
        <v>24</v>
      </c>
      <c r="H261" s="21" t="n">
        <v>116093.75</v>
      </c>
      <c r="I261" s="23" t="n">
        <v>43576</v>
      </c>
      <c r="J261" s="23" t="n">
        <v>44296</v>
      </c>
      <c r="K261" s="20" t="s">
        <v>94</v>
      </c>
      <c r="L261" s="24" t="n">
        <v>0</v>
      </c>
      <c r="M261" s="25" t="s">
        <v>77</v>
      </c>
      <c r="N261" s="20" t="n">
        <v>832</v>
      </c>
    </row>
    <row r="262" customFormat="false" ht="15" hidden="false" customHeight="true" outlineLevel="0" collapsed="false">
      <c r="A262" s="26" t="s">
        <v>605</v>
      </c>
      <c r="B262" s="26" t="s">
        <v>606</v>
      </c>
      <c r="C262" s="27" t="s">
        <v>84</v>
      </c>
      <c r="D262" s="28" t="n">
        <v>2630000</v>
      </c>
      <c r="E262" s="28" t="n">
        <v>0.1</v>
      </c>
      <c r="F262" s="29" t="n">
        <v>0.139</v>
      </c>
      <c r="G262" s="27" t="n">
        <v>24</v>
      </c>
      <c r="H262" s="28" t="n">
        <v>126149.67</v>
      </c>
      <c r="I262" s="30" t="n">
        <v>44895</v>
      </c>
      <c r="J262" s="30" t="n">
        <v>45615</v>
      </c>
      <c r="K262" s="27" t="s">
        <v>94</v>
      </c>
      <c r="L262" s="31" t="n">
        <v>0</v>
      </c>
      <c r="M262" s="25" t="s">
        <v>77</v>
      </c>
      <c r="N262" s="27" t="n">
        <v>850</v>
      </c>
    </row>
    <row r="263" customFormat="false" ht="15" hidden="false" customHeight="true" outlineLevel="0" collapsed="false">
      <c r="A263" s="19" t="s">
        <v>607</v>
      </c>
      <c r="B263" s="19" t="s">
        <v>608</v>
      </c>
      <c r="C263" s="20" t="s">
        <v>80</v>
      </c>
      <c r="D263" s="21" t="n">
        <v>1748000</v>
      </c>
      <c r="E263" s="21" t="n">
        <v>0.04</v>
      </c>
      <c r="F263" s="22" t="n">
        <v>0.102</v>
      </c>
      <c r="G263" s="20" t="n">
        <v>36</v>
      </c>
      <c r="H263" s="21" t="n">
        <v>56567.32</v>
      </c>
      <c r="I263" s="23" t="n">
        <v>44100</v>
      </c>
      <c r="J263" s="23" t="n">
        <v>45180</v>
      </c>
      <c r="K263" s="20" t="s">
        <v>76</v>
      </c>
      <c r="L263" s="24" t="n">
        <v>0</v>
      </c>
      <c r="M263" s="25" t="s">
        <v>77</v>
      </c>
      <c r="N263" s="20" t="n">
        <v>665</v>
      </c>
    </row>
    <row r="264" customFormat="false" ht="15" hidden="false" customHeight="true" outlineLevel="0" collapsed="false">
      <c r="A264" s="26" t="s">
        <v>609</v>
      </c>
      <c r="B264" s="26" t="s">
        <v>610</v>
      </c>
      <c r="C264" s="27" t="s">
        <v>91</v>
      </c>
      <c r="D264" s="28" t="n">
        <v>2337000</v>
      </c>
      <c r="E264" s="28" t="n">
        <v>0.09</v>
      </c>
      <c r="F264" s="29" t="n">
        <v>0.2087</v>
      </c>
      <c r="G264" s="27" t="n">
        <v>36</v>
      </c>
      <c r="H264" s="28" t="n">
        <v>87890.72</v>
      </c>
      <c r="I264" s="30" t="n">
        <v>43864</v>
      </c>
      <c r="J264" s="30" t="n">
        <v>44944</v>
      </c>
      <c r="K264" s="27" t="s">
        <v>94</v>
      </c>
      <c r="L264" s="31" t="n">
        <v>0</v>
      </c>
      <c r="M264" s="25" t="s">
        <v>77</v>
      </c>
      <c r="N264" s="27" t="n">
        <v>653</v>
      </c>
    </row>
    <row r="265" customFormat="false" ht="15" hidden="false" customHeight="true" outlineLevel="0" collapsed="false">
      <c r="A265" s="19" t="s">
        <v>611</v>
      </c>
      <c r="B265" s="19" t="s">
        <v>612</v>
      </c>
      <c r="C265" s="20" t="s">
        <v>75</v>
      </c>
      <c r="D265" s="21" t="n">
        <v>1975000</v>
      </c>
      <c r="E265" s="21" t="n">
        <v>0.16</v>
      </c>
      <c r="F265" s="22" t="n">
        <v>0.1942</v>
      </c>
      <c r="G265" s="20" t="n">
        <v>48</v>
      </c>
      <c r="H265" s="21" t="n">
        <v>59491.34</v>
      </c>
      <c r="I265" s="23" t="n">
        <v>44241</v>
      </c>
      <c r="J265" s="23" t="n">
        <v>45681</v>
      </c>
      <c r="K265" s="20" t="s">
        <v>94</v>
      </c>
      <c r="L265" s="24" t="n">
        <v>0</v>
      </c>
      <c r="M265" s="25" t="s">
        <v>77</v>
      </c>
      <c r="N265" s="20" t="n">
        <v>704</v>
      </c>
    </row>
    <row r="266" customFormat="false" ht="15" hidden="false" customHeight="true" outlineLevel="0" collapsed="false">
      <c r="A266" s="26" t="s">
        <v>613</v>
      </c>
      <c r="B266" s="26" t="s">
        <v>614</v>
      </c>
      <c r="C266" s="27" t="s">
        <v>84</v>
      </c>
      <c r="D266" s="28" t="n">
        <v>2708000</v>
      </c>
      <c r="E266" s="28" t="n">
        <v>630285.47</v>
      </c>
      <c r="F266" s="29" t="n">
        <v>0.1417</v>
      </c>
      <c r="G266" s="27" t="n">
        <v>48</v>
      </c>
      <c r="H266" s="28" t="n">
        <v>74231.24</v>
      </c>
      <c r="I266" s="30" t="n">
        <v>44975</v>
      </c>
      <c r="J266" s="30" t="n">
        <v>46415</v>
      </c>
      <c r="K266" s="27" t="s">
        <v>81</v>
      </c>
      <c r="L266" s="31" t="n">
        <v>0</v>
      </c>
      <c r="M266" s="25" t="s">
        <v>77</v>
      </c>
      <c r="N266" s="27" t="n">
        <v>771</v>
      </c>
    </row>
    <row r="267" customFormat="false" ht="15" hidden="false" customHeight="true" outlineLevel="0" collapsed="false">
      <c r="A267" s="19" t="s">
        <v>615</v>
      </c>
      <c r="B267" s="19" t="s">
        <v>616</v>
      </c>
      <c r="C267" s="20" t="s">
        <v>99</v>
      </c>
      <c r="D267" s="21" t="n">
        <v>1993000</v>
      </c>
      <c r="E267" s="21" t="n">
        <v>1241752.36</v>
      </c>
      <c r="F267" s="22" t="n">
        <v>0.1027</v>
      </c>
      <c r="G267" s="20" t="n">
        <v>84</v>
      </c>
      <c r="H267" s="21" t="n">
        <v>33364.86</v>
      </c>
      <c r="I267" s="23" t="n">
        <v>44976</v>
      </c>
      <c r="J267" s="23" t="n">
        <v>47496</v>
      </c>
      <c r="K267" s="20" t="s">
        <v>76</v>
      </c>
      <c r="L267" s="24" t="n">
        <v>0</v>
      </c>
      <c r="M267" s="25" t="s">
        <v>77</v>
      </c>
      <c r="N267" s="20" t="n">
        <v>639</v>
      </c>
    </row>
    <row r="268" customFormat="false" ht="15" hidden="false" customHeight="true" outlineLevel="0" collapsed="false">
      <c r="A268" s="26" t="s">
        <v>617</v>
      </c>
      <c r="B268" s="26" t="s">
        <v>618</v>
      </c>
      <c r="C268" s="27" t="s">
        <v>99</v>
      </c>
      <c r="D268" s="28" t="n">
        <v>2971000</v>
      </c>
      <c r="E268" s="28" t="n">
        <v>0</v>
      </c>
      <c r="F268" s="29" t="n">
        <v>0.1892</v>
      </c>
      <c r="G268" s="27" t="n">
        <v>84</v>
      </c>
      <c r="H268" s="28" t="n">
        <v>64056.27</v>
      </c>
      <c r="I268" s="30" t="n">
        <v>43583</v>
      </c>
      <c r="J268" s="30" t="n">
        <v>46103</v>
      </c>
      <c r="K268" s="27" t="s">
        <v>81</v>
      </c>
      <c r="L268" s="31" t="n">
        <v>0</v>
      </c>
      <c r="M268" s="25" t="s">
        <v>77</v>
      </c>
      <c r="N268" s="27" t="n">
        <v>743</v>
      </c>
    </row>
    <row r="269" customFormat="false" ht="15" hidden="false" customHeight="true" outlineLevel="0" collapsed="false">
      <c r="A269" s="19" t="s">
        <v>619</v>
      </c>
      <c r="B269" s="19" t="s">
        <v>620</v>
      </c>
      <c r="C269" s="20" t="s">
        <v>80</v>
      </c>
      <c r="D269" s="21" t="n">
        <v>2895000</v>
      </c>
      <c r="E269" s="21" t="n">
        <v>2751636.63</v>
      </c>
      <c r="F269" s="22" t="n">
        <v>0.1506</v>
      </c>
      <c r="G269" s="20" t="n">
        <v>180</v>
      </c>
      <c r="H269" s="21" t="n">
        <v>40637.08</v>
      </c>
      <c r="I269" s="23" t="n">
        <v>45302</v>
      </c>
      <c r="J269" s="23" t="n">
        <v>50702</v>
      </c>
      <c r="K269" s="20" t="s">
        <v>94</v>
      </c>
      <c r="L269" s="24" t="n">
        <v>0</v>
      </c>
      <c r="M269" s="33" t="s">
        <v>111</v>
      </c>
      <c r="N269" s="20" t="n">
        <v>587</v>
      </c>
    </row>
    <row r="270" customFormat="false" ht="15" hidden="false" customHeight="true" outlineLevel="0" collapsed="false">
      <c r="A270" s="26" t="s">
        <v>621</v>
      </c>
      <c r="B270" s="26" t="s">
        <v>622</v>
      </c>
      <c r="C270" s="27" t="s">
        <v>75</v>
      </c>
      <c r="D270" s="28" t="n">
        <v>2474000</v>
      </c>
      <c r="E270" s="28" t="n">
        <v>1521407.69</v>
      </c>
      <c r="F270" s="29" t="n">
        <v>0.1067</v>
      </c>
      <c r="G270" s="27" t="n">
        <v>84</v>
      </c>
      <c r="H270" s="28" t="n">
        <v>41932.86</v>
      </c>
      <c r="I270" s="30" t="n">
        <v>44948</v>
      </c>
      <c r="J270" s="30" t="n">
        <v>47468</v>
      </c>
      <c r="K270" s="27" t="s">
        <v>76</v>
      </c>
      <c r="L270" s="31" t="n">
        <v>0</v>
      </c>
      <c r="M270" s="25" t="s">
        <v>77</v>
      </c>
      <c r="N270" s="27" t="n">
        <v>739</v>
      </c>
    </row>
    <row r="271" customFormat="false" ht="15" hidden="false" customHeight="true" outlineLevel="0" collapsed="false">
      <c r="A271" s="19" t="s">
        <v>623</v>
      </c>
      <c r="B271" s="19" t="s">
        <v>624</v>
      </c>
      <c r="C271" s="20" t="s">
        <v>91</v>
      </c>
      <c r="D271" s="21" t="n">
        <v>2830000</v>
      </c>
      <c r="E271" s="21" t="n">
        <v>2465767.6</v>
      </c>
      <c r="F271" s="22" t="n">
        <v>0.1862</v>
      </c>
      <c r="G271" s="20" t="n">
        <v>120</v>
      </c>
      <c r="H271" s="21" t="n">
        <v>52127.39</v>
      </c>
      <c r="I271" s="23" t="n">
        <v>45115</v>
      </c>
      <c r="J271" s="23" t="n">
        <v>48715</v>
      </c>
      <c r="K271" s="20" t="s">
        <v>81</v>
      </c>
      <c r="L271" s="24" t="n">
        <v>0</v>
      </c>
      <c r="M271" s="25" t="s">
        <v>77</v>
      </c>
      <c r="N271" s="20" t="n">
        <v>696</v>
      </c>
    </row>
    <row r="272" customFormat="false" ht="15" hidden="false" customHeight="true" outlineLevel="0" collapsed="false">
      <c r="A272" s="26" t="s">
        <v>625</v>
      </c>
      <c r="B272" s="26" t="s">
        <v>626</v>
      </c>
      <c r="C272" s="27" t="s">
        <v>80</v>
      </c>
      <c r="D272" s="28" t="n">
        <v>203000</v>
      </c>
      <c r="E272" s="28" t="n">
        <v>0.02</v>
      </c>
      <c r="F272" s="29" t="n">
        <v>0.203</v>
      </c>
      <c r="G272" s="27" t="n">
        <v>60</v>
      </c>
      <c r="H272" s="28" t="n">
        <v>5412.2</v>
      </c>
      <c r="I272" s="30" t="n">
        <v>43234</v>
      </c>
      <c r="J272" s="30" t="n">
        <v>45034</v>
      </c>
      <c r="K272" s="27" t="s">
        <v>81</v>
      </c>
      <c r="L272" s="31" t="n">
        <v>0</v>
      </c>
      <c r="M272" s="25" t="s">
        <v>77</v>
      </c>
      <c r="N272" s="27" t="n">
        <v>744</v>
      </c>
    </row>
    <row r="273" customFormat="false" ht="15" hidden="false" customHeight="true" outlineLevel="0" collapsed="false">
      <c r="A273" s="19" t="s">
        <v>627</v>
      </c>
      <c r="B273" s="19" t="s">
        <v>628</v>
      </c>
      <c r="C273" s="20" t="s">
        <v>75</v>
      </c>
      <c r="D273" s="21" t="n">
        <v>2578000</v>
      </c>
      <c r="E273" s="21" t="n">
        <v>1685123.49</v>
      </c>
      <c r="F273" s="22" t="n">
        <v>0.1738</v>
      </c>
      <c r="G273" s="20" t="n">
        <v>60</v>
      </c>
      <c r="H273" s="21" t="n">
        <v>64597.87</v>
      </c>
      <c r="I273" s="23" t="n">
        <v>45325</v>
      </c>
      <c r="J273" s="23" t="n">
        <v>47125</v>
      </c>
      <c r="K273" s="20" t="s">
        <v>81</v>
      </c>
      <c r="L273" s="24" t="n">
        <v>0</v>
      </c>
      <c r="M273" s="25" t="s">
        <v>77</v>
      </c>
      <c r="N273" s="20" t="n">
        <v>683</v>
      </c>
    </row>
    <row r="274" customFormat="false" ht="15" hidden="false" customHeight="true" outlineLevel="0" collapsed="false">
      <c r="A274" s="26" t="s">
        <v>629</v>
      </c>
      <c r="B274" s="26" t="s">
        <v>630</v>
      </c>
      <c r="C274" s="27" t="s">
        <v>75</v>
      </c>
      <c r="D274" s="28" t="n">
        <v>2754000</v>
      </c>
      <c r="E274" s="28" t="n">
        <v>0</v>
      </c>
      <c r="F274" s="29" t="n">
        <v>0.2384</v>
      </c>
      <c r="G274" s="27" t="n">
        <v>24</v>
      </c>
      <c r="H274" s="28" t="n">
        <v>145387.17</v>
      </c>
      <c r="I274" s="30" t="n">
        <v>44114</v>
      </c>
      <c r="J274" s="30" t="n">
        <v>44834</v>
      </c>
      <c r="K274" s="27" t="s">
        <v>81</v>
      </c>
      <c r="L274" s="31" t="n">
        <v>0</v>
      </c>
      <c r="M274" s="25" t="s">
        <v>77</v>
      </c>
      <c r="N274" s="27" t="n">
        <v>577</v>
      </c>
    </row>
    <row r="275" customFormat="false" ht="15" hidden="false" customHeight="true" outlineLevel="0" collapsed="false">
      <c r="A275" s="19" t="s">
        <v>631</v>
      </c>
      <c r="B275" s="19" t="s">
        <v>632</v>
      </c>
      <c r="C275" s="20" t="s">
        <v>91</v>
      </c>
      <c r="D275" s="21" t="n">
        <v>4970000</v>
      </c>
      <c r="E275" s="21" t="n">
        <v>0.01</v>
      </c>
      <c r="F275" s="22" t="n">
        <v>0.2052</v>
      </c>
      <c r="G275" s="20" t="n">
        <v>48</v>
      </c>
      <c r="H275" s="21" t="n">
        <v>152619.27</v>
      </c>
      <c r="I275" s="23" t="n">
        <v>43960</v>
      </c>
      <c r="J275" s="23" t="n">
        <v>45400</v>
      </c>
      <c r="K275" s="20" t="s">
        <v>94</v>
      </c>
      <c r="L275" s="24" t="n">
        <v>0</v>
      </c>
      <c r="M275" s="25" t="s">
        <v>77</v>
      </c>
      <c r="N275" s="20" t="n">
        <v>705</v>
      </c>
    </row>
    <row r="276" customFormat="false" ht="15" hidden="false" customHeight="true" outlineLevel="0" collapsed="false">
      <c r="A276" s="26" t="s">
        <v>633</v>
      </c>
      <c r="B276" s="26" t="s">
        <v>634</v>
      </c>
      <c r="C276" s="27" t="s">
        <v>75</v>
      </c>
      <c r="D276" s="28" t="n">
        <v>2169000</v>
      </c>
      <c r="E276" s="28" t="n">
        <v>0</v>
      </c>
      <c r="F276" s="29" t="n">
        <v>0.1805</v>
      </c>
      <c r="G276" s="27" t="n">
        <v>48</v>
      </c>
      <c r="H276" s="28" t="n">
        <v>63771.06</v>
      </c>
      <c r="I276" s="30" t="n">
        <v>43948</v>
      </c>
      <c r="J276" s="30" t="n">
        <v>45388</v>
      </c>
      <c r="K276" s="27" t="s">
        <v>81</v>
      </c>
      <c r="L276" s="31" t="n">
        <v>0</v>
      </c>
      <c r="M276" s="25" t="s">
        <v>77</v>
      </c>
      <c r="N276" s="27" t="n">
        <v>591</v>
      </c>
    </row>
    <row r="277" customFormat="false" ht="15" hidden="false" customHeight="true" outlineLevel="0" collapsed="false">
      <c r="A277" s="19" t="s">
        <v>635</v>
      </c>
      <c r="B277" s="19" t="s">
        <v>636</v>
      </c>
      <c r="C277" s="20" t="s">
        <v>91</v>
      </c>
      <c r="D277" s="21" t="n">
        <v>1482000</v>
      </c>
      <c r="E277" s="21" t="n">
        <v>1281030.63</v>
      </c>
      <c r="F277" s="22" t="n">
        <v>0.1264</v>
      </c>
      <c r="G277" s="20" t="n">
        <v>240</v>
      </c>
      <c r="H277" s="21" t="n">
        <v>16984.09</v>
      </c>
      <c r="I277" s="23" t="n">
        <v>43491</v>
      </c>
      <c r="J277" s="23" t="n">
        <v>50691</v>
      </c>
      <c r="K277" s="20" t="s">
        <v>81</v>
      </c>
      <c r="L277" s="24" t="n">
        <v>0</v>
      </c>
      <c r="M277" s="25" t="s">
        <v>77</v>
      </c>
      <c r="N277" s="20" t="n">
        <v>614</v>
      </c>
    </row>
    <row r="278" customFormat="false" ht="15" hidden="false" customHeight="true" outlineLevel="0" collapsed="false">
      <c r="A278" s="26" t="s">
        <v>637</v>
      </c>
      <c r="B278" s="26" t="s">
        <v>638</v>
      </c>
      <c r="C278" s="27" t="s">
        <v>99</v>
      </c>
      <c r="D278" s="28" t="n">
        <v>4342000</v>
      </c>
      <c r="E278" s="28" t="n">
        <v>0</v>
      </c>
      <c r="F278" s="29" t="n">
        <v>0.1047</v>
      </c>
      <c r="G278" s="27" t="n">
        <v>36</v>
      </c>
      <c r="H278" s="28" t="n">
        <v>141064.2</v>
      </c>
      <c r="I278" s="30" t="n">
        <v>44123</v>
      </c>
      <c r="J278" s="30" t="n">
        <v>45203</v>
      </c>
      <c r="K278" s="27" t="s">
        <v>81</v>
      </c>
      <c r="L278" s="31" t="n">
        <v>0</v>
      </c>
      <c r="M278" s="25" t="s">
        <v>77</v>
      </c>
      <c r="N278" s="27" t="n">
        <v>781</v>
      </c>
    </row>
    <row r="279" customFormat="false" ht="15" hidden="false" customHeight="true" outlineLevel="0" collapsed="false">
      <c r="A279" s="19" t="s">
        <v>639</v>
      </c>
      <c r="B279" s="19" t="s">
        <v>640</v>
      </c>
      <c r="C279" s="20" t="s">
        <v>84</v>
      </c>
      <c r="D279" s="21" t="n">
        <v>3180000</v>
      </c>
      <c r="E279" s="21" t="n">
        <v>2664478.98</v>
      </c>
      <c r="F279" s="22" t="n">
        <v>0.1823</v>
      </c>
      <c r="G279" s="20" t="n">
        <v>120</v>
      </c>
      <c r="H279" s="21" t="n">
        <v>57770.6</v>
      </c>
      <c r="I279" s="23" t="n">
        <v>44952</v>
      </c>
      <c r="J279" s="23" t="n">
        <v>48552</v>
      </c>
      <c r="K279" s="20" t="s">
        <v>81</v>
      </c>
      <c r="L279" s="24" t="n">
        <v>0</v>
      </c>
      <c r="M279" s="25" t="s">
        <v>77</v>
      </c>
      <c r="N279" s="20" t="n">
        <v>635</v>
      </c>
    </row>
    <row r="280" customFormat="false" ht="15" hidden="false" customHeight="true" outlineLevel="0" collapsed="false">
      <c r="A280" s="26" t="s">
        <v>641</v>
      </c>
      <c r="B280" s="26" t="s">
        <v>642</v>
      </c>
      <c r="C280" s="27" t="s">
        <v>91</v>
      </c>
      <c r="D280" s="28" t="n">
        <v>3762000</v>
      </c>
      <c r="E280" s="28" t="n">
        <v>2609706.1</v>
      </c>
      <c r="F280" s="29" t="n">
        <v>0.1927</v>
      </c>
      <c r="G280" s="27" t="n">
        <v>84</v>
      </c>
      <c r="H280" s="28" t="n">
        <v>81894.02</v>
      </c>
      <c r="I280" s="30" t="n">
        <v>44963</v>
      </c>
      <c r="J280" s="30" t="n">
        <v>47483</v>
      </c>
      <c r="K280" s="27" t="s">
        <v>81</v>
      </c>
      <c r="L280" s="31" t="n">
        <v>0</v>
      </c>
      <c r="M280" s="25" t="s">
        <v>77</v>
      </c>
      <c r="N280" s="27" t="n">
        <v>697</v>
      </c>
    </row>
    <row r="281" customFormat="false" ht="15" hidden="false" customHeight="true" outlineLevel="0" collapsed="false">
      <c r="A281" s="19" t="s">
        <v>643</v>
      </c>
      <c r="B281" s="19" t="s">
        <v>644</v>
      </c>
      <c r="C281" s="20" t="s">
        <v>80</v>
      </c>
      <c r="D281" s="21" t="n">
        <v>3502000</v>
      </c>
      <c r="E281" s="21" t="n">
        <v>3438241.58</v>
      </c>
      <c r="F281" s="22" t="n">
        <v>0.2168</v>
      </c>
      <c r="G281" s="20" t="n">
        <v>240</v>
      </c>
      <c r="H281" s="21" t="n">
        <v>64142.14</v>
      </c>
      <c r="I281" s="23" t="n">
        <v>44730</v>
      </c>
      <c r="J281" s="23" t="n">
        <v>51930</v>
      </c>
      <c r="K281" s="20" t="s">
        <v>81</v>
      </c>
      <c r="L281" s="24" t="n">
        <v>0</v>
      </c>
      <c r="M281" s="25" t="s">
        <v>77</v>
      </c>
      <c r="N281" s="20" t="n">
        <v>781</v>
      </c>
    </row>
    <row r="282" customFormat="false" ht="15" hidden="false" customHeight="true" outlineLevel="0" collapsed="false">
      <c r="A282" s="26" t="s">
        <v>645</v>
      </c>
      <c r="B282" s="26" t="s">
        <v>646</v>
      </c>
      <c r="C282" s="27" t="s">
        <v>91</v>
      </c>
      <c r="D282" s="28" t="n">
        <v>4150000</v>
      </c>
      <c r="E282" s="28" t="n">
        <v>1576021.09</v>
      </c>
      <c r="F282" s="29" t="n">
        <v>0.1374</v>
      </c>
      <c r="G282" s="27" t="n">
        <v>36</v>
      </c>
      <c r="H282" s="28" t="n">
        <v>141313.67</v>
      </c>
      <c r="I282" s="30" t="n">
        <v>45419</v>
      </c>
      <c r="J282" s="30" t="n">
        <v>46499</v>
      </c>
      <c r="K282" s="27" t="s">
        <v>81</v>
      </c>
      <c r="L282" s="31" t="n">
        <v>0</v>
      </c>
      <c r="M282" s="25" t="s">
        <v>77</v>
      </c>
      <c r="N282" s="27" t="n">
        <v>650</v>
      </c>
    </row>
    <row r="283" customFormat="false" ht="15" hidden="false" customHeight="true" outlineLevel="0" collapsed="false">
      <c r="A283" s="19" t="s">
        <v>647</v>
      </c>
      <c r="B283" s="19" t="s">
        <v>648</v>
      </c>
      <c r="C283" s="20" t="s">
        <v>80</v>
      </c>
      <c r="D283" s="21" t="n">
        <v>2325000</v>
      </c>
      <c r="E283" s="21" t="n">
        <v>0.12</v>
      </c>
      <c r="F283" s="22" t="n">
        <v>0.1043</v>
      </c>
      <c r="G283" s="20" t="n">
        <v>36</v>
      </c>
      <c r="H283" s="21" t="n">
        <v>75491.46</v>
      </c>
      <c r="I283" s="23" t="n">
        <v>44908</v>
      </c>
      <c r="J283" s="23" t="n">
        <v>45988</v>
      </c>
      <c r="K283" s="20" t="s">
        <v>81</v>
      </c>
      <c r="L283" s="37" t="n">
        <v>1</v>
      </c>
      <c r="M283" s="32" t="s">
        <v>104</v>
      </c>
      <c r="N283" s="20" t="n">
        <v>783</v>
      </c>
    </row>
    <row r="284" customFormat="false" ht="15" hidden="false" customHeight="true" outlineLevel="0" collapsed="false">
      <c r="A284" s="26" t="s">
        <v>649</v>
      </c>
      <c r="B284" s="26" t="s">
        <v>650</v>
      </c>
      <c r="C284" s="27" t="s">
        <v>99</v>
      </c>
      <c r="D284" s="28" t="n">
        <v>4552000</v>
      </c>
      <c r="E284" s="28" t="n">
        <v>0.28</v>
      </c>
      <c r="F284" s="29" t="n">
        <v>0.2217</v>
      </c>
      <c r="G284" s="27" t="n">
        <v>60</v>
      </c>
      <c r="H284" s="28" t="n">
        <v>126161.66</v>
      </c>
      <c r="I284" s="30" t="n">
        <v>43752</v>
      </c>
      <c r="J284" s="30" t="n">
        <v>45552</v>
      </c>
      <c r="K284" s="27" t="s">
        <v>81</v>
      </c>
      <c r="L284" s="31" t="n">
        <v>0</v>
      </c>
      <c r="M284" s="25" t="s">
        <v>77</v>
      </c>
      <c r="N284" s="27" t="n">
        <v>752</v>
      </c>
    </row>
    <row r="285" customFormat="false" ht="15" hidden="false" customHeight="true" outlineLevel="0" collapsed="false">
      <c r="A285" s="19" t="s">
        <v>651</v>
      </c>
      <c r="B285" s="19" t="s">
        <v>652</v>
      </c>
      <c r="C285" s="20" t="s">
        <v>91</v>
      </c>
      <c r="D285" s="21" t="n">
        <v>2012000</v>
      </c>
      <c r="E285" s="21" t="n">
        <v>262337.34</v>
      </c>
      <c r="F285" s="22" t="n">
        <v>0.1324</v>
      </c>
      <c r="G285" s="20" t="n">
        <v>48</v>
      </c>
      <c r="H285" s="21" t="n">
        <v>54216.9</v>
      </c>
      <c r="I285" s="23" t="n">
        <v>44859</v>
      </c>
      <c r="J285" s="23" t="n">
        <v>46299</v>
      </c>
      <c r="K285" s="20" t="s">
        <v>94</v>
      </c>
      <c r="L285" s="24" t="n">
        <v>0</v>
      </c>
      <c r="M285" s="25" t="s">
        <v>77</v>
      </c>
      <c r="N285" s="20" t="n">
        <v>709</v>
      </c>
    </row>
    <row r="286" customFormat="false" ht="15" hidden="false" customHeight="true" outlineLevel="0" collapsed="false">
      <c r="A286" s="26" t="s">
        <v>653</v>
      </c>
      <c r="B286" s="26" t="s">
        <v>654</v>
      </c>
      <c r="C286" s="27" t="s">
        <v>91</v>
      </c>
      <c r="D286" s="28" t="n">
        <v>707000</v>
      </c>
      <c r="E286" s="28" t="n">
        <v>465850.48</v>
      </c>
      <c r="F286" s="29" t="n">
        <v>0.1201</v>
      </c>
      <c r="G286" s="27" t="n">
        <v>180</v>
      </c>
      <c r="H286" s="28" t="n">
        <v>8489.74</v>
      </c>
      <c r="I286" s="30" t="n">
        <v>43139</v>
      </c>
      <c r="J286" s="30" t="n">
        <v>48539</v>
      </c>
      <c r="K286" s="27" t="s">
        <v>81</v>
      </c>
      <c r="L286" s="31" t="n">
        <v>0</v>
      </c>
      <c r="M286" s="25" t="s">
        <v>77</v>
      </c>
      <c r="N286" s="27" t="n">
        <v>642</v>
      </c>
    </row>
    <row r="287" customFormat="false" ht="15" hidden="false" customHeight="true" outlineLevel="0" collapsed="false">
      <c r="A287" s="19" t="s">
        <v>655</v>
      </c>
      <c r="B287" s="19" t="s">
        <v>656</v>
      </c>
      <c r="C287" s="20" t="s">
        <v>75</v>
      </c>
      <c r="D287" s="21" t="n">
        <v>492000</v>
      </c>
      <c r="E287" s="21" t="n">
        <v>0.11</v>
      </c>
      <c r="F287" s="22" t="n">
        <v>0.2099</v>
      </c>
      <c r="G287" s="20" t="n">
        <v>24</v>
      </c>
      <c r="H287" s="21" t="n">
        <v>25279.32</v>
      </c>
      <c r="I287" s="23" t="n">
        <v>44384</v>
      </c>
      <c r="J287" s="23" t="n">
        <v>45104</v>
      </c>
      <c r="K287" s="20" t="s">
        <v>81</v>
      </c>
      <c r="L287" s="24" t="n">
        <v>0</v>
      </c>
      <c r="M287" s="25" t="s">
        <v>77</v>
      </c>
      <c r="N287" s="20" t="n">
        <v>612</v>
      </c>
    </row>
    <row r="288" customFormat="false" ht="15" hidden="false" customHeight="true" outlineLevel="0" collapsed="false">
      <c r="A288" s="26" t="s">
        <v>657</v>
      </c>
      <c r="B288" s="26" t="s">
        <v>658</v>
      </c>
      <c r="C288" s="27" t="s">
        <v>99</v>
      </c>
      <c r="D288" s="28" t="n">
        <v>3226000</v>
      </c>
      <c r="E288" s="28" t="n">
        <v>0</v>
      </c>
      <c r="F288" s="29" t="n">
        <v>0.19</v>
      </c>
      <c r="G288" s="27" t="n">
        <v>24</v>
      </c>
      <c r="H288" s="28" t="n">
        <v>162618.2</v>
      </c>
      <c r="I288" s="30" t="n">
        <v>45273</v>
      </c>
      <c r="J288" s="30" t="n">
        <v>45993</v>
      </c>
      <c r="K288" s="27" t="s">
        <v>76</v>
      </c>
      <c r="L288" s="31" t="n">
        <v>0</v>
      </c>
      <c r="M288" s="25" t="s">
        <v>77</v>
      </c>
      <c r="N288" s="27" t="n">
        <v>678</v>
      </c>
    </row>
    <row r="289" customFormat="false" ht="15" hidden="false" customHeight="true" outlineLevel="0" collapsed="false">
      <c r="A289" s="19" t="s">
        <v>659</v>
      </c>
      <c r="B289" s="19" t="s">
        <v>660</v>
      </c>
      <c r="C289" s="20" t="s">
        <v>91</v>
      </c>
      <c r="D289" s="21" t="n">
        <v>4603000</v>
      </c>
      <c r="E289" s="21" t="n">
        <v>3954260.02</v>
      </c>
      <c r="F289" s="22" t="n">
        <v>0.1805</v>
      </c>
      <c r="G289" s="20" t="n">
        <v>180</v>
      </c>
      <c r="H289" s="21" t="n">
        <v>74293.33</v>
      </c>
      <c r="I289" s="23" t="n">
        <v>43990</v>
      </c>
      <c r="J289" s="23" t="n">
        <v>49390</v>
      </c>
      <c r="K289" s="20" t="s">
        <v>81</v>
      </c>
      <c r="L289" s="24" t="n">
        <v>0</v>
      </c>
      <c r="M289" s="25" t="s">
        <v>77</v>
      </c>
      <c r="N289" s="20" t="n">
        <v>700</v>
      </c>
    </row>
    <row r="290" customFormat="false" ht="15" hidden="false" customHeight="true" outlineLevel="0" collapsed="false">
      <c r="A290" s="26" t="s">
        <v>661</v>
      </c>
      <c r="B290" s="26" t="s">
        <v>662</v>
      </c>
      <c r="C290" s="27" t="s">
        <v>75</v>
      </c>
      <c r="D290" s="28" t="n">
        <v>1951000</v>
      </c>
      <c r="E290" s="28" t="n">
        <v>92174.59</v>
      </c>
      <c r="F290" s="29" t="n">
        <v>0.2343</v>
      </c>
      <c r="G290" s="27" t="n">
        <v>84</v>
      </c>
      <c r="H290" s="28" t="n">
        <v>47441.7</v>
      </c>
      <c r="I290" s="30" t="n">
        <v>43673</v>
      </c>
      <c r="J290" s="30" t="n">
        <v>46193</v>
      </c>
      <c r="K290" s="27" t="s">
        <v>81</v>
      </c>
      <c r="L290" s="31" t="n">
        <v>0</v>
      </c>
      <c r="M290" s="25" t="s">
        <v>77</v>
      </c>
      <c r="N290" s="27" t="n">
        <v>799</v>
      </c>
    </row>
    <row r="291" customFormat="false" ht="15" hidden="false" customHeight="true" outlineLevel="0" collapsed="false">
      <c r="A291" s="19" t="s">
        <v>663</v>
      </c>
      <c r="B291" s="19" t="s">
        <v>664</v>
      </c>
      <c r="C291" s="20" t="s">
        <v>75</v>
      </c>
      <c r="D291" s="21" t="n">
        <v>4709000</v>
      </c>
      <c r="E291" s="21" t="n">
        <v>0.16</v>
      </c>
      <c r="F291" s="22" t="n">
        <v>0.0892</v>
      </c>
      <c r="G291" s="20" t="n">
        <v>60</v>
      </c>
      <c r="H291" s="21" t="n">
        <v>97568.36</v>
      </c>
      <c r="I291" s="23" t="n">
        <v>43942</v>
      </c>
      <c r="J291" s="23" t="n">
        <v>45742</v>
      </c>
      <c r="K291" s="20" t="s">
        <v>76</v>
      </c>
      <c r="L291" s="24" t="n">
        <v>0</v>
      </c>
      <c r="M291" s="25" t="s">
        <v>77</v>
      </c>
      <c r="N291" s="20" t="n">
        <v>658</v>
      </c>
    </row>
    <row r="292" customFormat="false" ht="15" hidden="false" customHeight="true" outlineLevel="0" collapsed="false">
      <c r="A292" s="26" t="s">
        <v>665</v>
      </c>
      <c r="B292" s="26" t="s">
        <v>666</v>
      </c>
      <c r="C292" s="27" t="s">
        <v>91</v>
      </c>
      <c r="D292" s="28" t="n">
        <v>320000</v>
      </c>
      <c r="E292" s="28" t="n">
        <v>124086.57</v>
      </c>
      <c r="F292" s="29" t="n">
        <v>0.2242</v>
      </c>
      <c r="G292" s="27" t="n">
        <v>48</v>
      </c>
      <c r="H292" s="28" t="n">
        <v>10155.05</v>
      </c>
      <c r="I292" s="30" t="n">
        <v>45128</v>
      </c>
      <c r="J292" s="30" t="n">
        <v>46568</v>
      </c>
      <c r="K292" s="27" t="s">
        <v>81</v>
      </c>
      <c r="L292" s="31" t="n">
        <v>0</v>
      </c>
      <c r="M292" s="25" t="s">
        <v>77</v>
      </c>
      <c r="N292" s="27" t="n">
        <v>605</v>
      </c>
    </row>
    <row r="293" customFormat="false" ht="15" hidden="false" customHeight="true" outlineLevel="0" collapsed="false">
      <c r="A293" s="19" t="s">
        <v>667</v>
      </c>
      <c r="B293" s="19" t="s">
        <v>668</v>
      </c>
      <c r="C293" s="20" t="s">
        <v>80</v>
      </c>
      <c r="D293" s="21" t="n">
        <v>1837000</v>
      </c>
      <c r="E293" s="21" t="n">
        <v>1636070.04</v>
      </c>
      <c r="F293" s="22" t="n">
        <v>0.1341</v>
      </c>
      <c r="G293" s="20" t="n">
        <v>120</v>
      </c>
      <c r="H293" s="21" t="n">
        <v>27874.4</v>
      </c>
      <c r="I293" s="23" t="n">
        <v>45429</v>
      </c>
      <c r="J293" s="23" t="n">
        <v>49029</v>
      </c>
      <c r="K293" s="20" t="s">
        <v>81</v>
      </c>
      <c r="L293" s="24" t="n">
        <v>0</v>
      </c>
      <c r="M293" s="25" t="s">
        <v>77</v>
      </c>
      <c r="N293" s="20" t="n">
        <v>679</v>
      </c>
    </row>
    <row r="294" customFormat="false" ht="15" hidden="false" customHeight="true" outlineLevel="0" collapsed="false">
      <c r="A294" s="26" t="s">
        <v>669</v>
      </c>
      <c r="B294" s="26" t="s">
        <v>670</v>
      </c>
      <c r="C294" s="27" t="s">
        <v>91</v>
      </c>
      <c r="D294" s="28" t="n">
        <v>4937000</v>
      </c>
      <c r="E294" s="28" t="n">
        <v>0</v>
      </c>
      <c r="F294" s="29" t="n">
        <v>0.0963</v>
      </c>
      <c r="G294" s="27" t="n">
        <v>24</v>
      </c>
      <c r="H294" s="28" t="n">
        <v>226975.32</v>
      </c>
      <c r="I294" s="30" t="n">
        <v>43157</v>
      </c>
      <c r="J294" s="30" t="n">
        <v>43877</v>
      </c>
      <c r="K294" s="27" t="s">
        <v>81</v>
      </c>
      <c r="L294" s="31" t="n">
        <v>0</v>
      </c>
      <c r="M294" s="33" t="s">
        <v>111</v>
      </c>
      <c r="N294" s="27" t="n">
        <v>661</v>
      </c>
    </row>
    <row r="295" customFormat="false" ht="15" hidden="false" customHeight="true" outlineLevel="0" collapsed="false">
      <c r="A295" s="19" t="s">
        <v>671</v>
      </c>
      <c r="B295" s="19" t="s">
        <v>672</v>
      </c>
      <c r="C295" s="20" t="s">
        <v>91</v>
      </c>
      <c r="D295" s="21" t="n">
        <v>2106000</v>
      </c>
      <c r="E295" s="21" t="n">
        <v>0.03</v>
      </c>
      <c r="F295" s="22" t="n">
        <v>0.1938</v>
      </c>
      <c r="G295" s="20" t="n">
        <v>24</v>
      </c>
      <c r="H295" s="21" t="n">
        <v>106549.77</v>
      </c>
      <c r="I295" s="23" t="n">
        <v>45298</v>
      </c>
      <c r="J295" s="23" t="n">
        <v>46018</v>
      </c>
      <c r="K295" s="20" t="s">
        <v>76</v>
      </c>
      <c r="L295" s="24" t="n">
        <v>0</v>
      </c>
      <c r="M295" s="25" t="s">
        <v>77</v>
      </c>
      <c r="N295" s="20" t="n">
        <v>604</v>
      </c>
    </row>
    <row r="296" customFormat="false" ht="15" hidden="false" customHeight="true" outlineLevel="0" collapsed="false">
      <c r="A296" s="26" t="s">
        <v>673</v>
      </c>
      <c r="B296" s="26" t="s">
        <v>674</v>
      </c>
      <c r="C296" s="27" t="s">
        <v>80</v>
      </c>
      <c r="D296" s="28" t="n">
        <v>4609000</v>
      </c>
      <c r="E296" s="28" t="n">
        <v>1319438.79</v>
      </c>
      <c r="F296" s="29" t="n">
        <v>0.236</v>
      </c>
      <c r="G296" s="27" t="n">
        <v>36</v>
      </c>
      <c r="H296" s="28" t="n">
        <v>179857.64</v>
      </c>
      <c r="I296" s="30" t="n">
        <v>45298</v>
      </c>
      <c r="J296" s="30" t="n">
        <v>46378</v>
      </c>
      <c r="K296" s="27" t="s">
        <v>81</v>
      </c>
      <c r="L296" s="31" t="n">
        <v>0</v>
      </c>
      <c r="M296" s="25" t="s">
        <v>77</v>
      </c>
      <c r="N296" s="27" t="n">
        <v>601</v>
      </c>
    </row>
    <row r="297" customFormat="false" ht="15" hidden="false" customHeight="true" outlineLevel="0" collapsed="false">
      <c r="A297" s="19" t="s">
        <v>675</v>
      </c>
      <c r="B297" s="19" t="s">
        <v>676</v>
      </c>
      <c r="C297" s="20" t="s">
        <v>75</v>
      </c>
      <c r="D297" s="21" t="n">
        <v>3663000</v>
      </c>
      <c r="E297" s="21" t="n">
        <v>0.02</v>
      </c>
      <c r="F297" s="22" t="n">
        <v>0.2162</v>
      </c>
      <c r="G297" s="20" t="n">
        <v>12</v>
      </c>
      <c r="H297" s="21" t="n">
        <v>342166.66</v>
      </c>
      <c r="I297" s="23" t="n">
        <v>44102</v>
      </c>
      <c r="J297" s="23" t="n">
        <v>44462</v>
      </c>
      <c r="K297" s="20" t="s">
        <v>81</v>
      </c>
      <c r="L297" s="24" t="n">
        <v>0</v>
      </c>
      <c r="M297" s="25" t="s">
        <v>77</v>
      </c>
      <c r="N297" s="20" t="n">
        <v>783</v>
      </c>
    </row>
    <row r="298" customFormat="false" ht="15" hidden="false" customHeight="true" outlineLevel="0" collapsed="false">
      <c r="A298" s="26" t="s">
        <v>677</v>
      </c>
      <c r="B298" s="26" t="s">
        <v>678</v>
      </c>
      <c r="C298" s="27" t="s">
        <v>75</v>
      </c>
      <c r="D298" s="28" t="n">
        <v>1581000</v>
      </c>
      <c r="E298" s="28" t="n">
        <v>0</v>
      </c>
      <c r="F298" s="29" t="n">
        <v>0.2</v>
      </c>
      <c r="G298" s="27" t="n">
        <v>36</v>
      </c>
      <c r="H298" s="28" t="n">
        <v>58755.63</v>
      </c>
      <c r="I298" s="30" t="n">
        <v>43590</v>
      </c>
      <c r="J298" s="30" t="n">
        <v>44670</v>
      </c>
      <c r="K298" s="27" t="s">
        <v>81</v>
      </c>
      <c r="L298" s="31" t="n">
        <v>0</v>
      </c>
      <c r="M298" s="25" t="s">
        <v>77</v>
      </c>
      <c r="N298" s="27" t="n">
        <v>720</v>
      </c>
    </row>
    <row r="299" customFormat="false" ht="15" hidden="false" customHeight="true" outlineLevel="0" collapsed="false">
      <c r="A299" s="19" t="s">
        <v>679</v>
      </c>
      <c r="B299" s="19" t="s">
        <v>680</v>
      </c>
      <c r="C299" s="20" t="s">
        <v>91</v>
      </c>
      <c r="D299" s="21" t="n">
        <v>4121000</v>
      </c>
      <c r="E299" s="21" t="n">
        <v>0.62</v>
      </c>
      <c r="F299" s="22" t="n">
        <v>0.1252</v>
      </c>
      <c r="G299" s="20" t="n">
        <v>84</v>
      </c>
      <c r="H299" s="21" t="n">
        <v>73897.87</v>
      </c>
      <c r="I299" s="23" t="n">
        <v>43620</v>
      </c>
      <c r="J299" s="23" t="n">
        <v>46140</v>
      </c>
      <c r="K299" s="20" t="s">
        <v>94</v>
      </c>
      <c r="L299" s="24" t="n">
        <v>0</v>
      </c>
      <c r="M299" s="25" t="s">
        <v>77</v>
      </c>
      <c r="N299" s="20" t="n">
        <v>614</v>
      </c>
    </row>
    <row r="300" customFormat="false" ht="15" hidden="false" customHeight="true" outlineLevel="0" collapsed="false">
      <c r="A300" s="26" t="s">
        <v>681</v>
      </c>
      <c r="B300" s="26" t="s">
        <v>682</v>
      </c>
      <c r="C300" s="27" t="s">
        <v>84</v>
      </c>
      <c r="D300" s="28" t="n">
        <v>195000</v>
      </c>
      <c r="E300" s="28" t="n">
        <v>122326.03</v>
      </c>
      <c r="F300" s="29" t="n">
        <v>0.2101</v>
      </c>
      <c r="G300" s="27" t="n">
        <v>60</v>
      </c>
      <c r="H300" s="28" t="n">
        <v>5276.5</v>
      </c>
      <c r="I300" s="30" t="n">
        <v>45246</v>
      </c>
      <c r="J300" s="30" t="n">
        <v>47046</v>
      </c>
      <c r="K300" s="27" t="s">
        <v>81</v>
      </c>
      <c r="L300" s="31" t="n">
        <v>0</v>
      </c>
      <c r="M300" s="35" t="s">
        <v>269</v>
      </c>
      <c r="N300" s="27" t="n">
        <v>749</v>
      </c>
    </row>
    <row r="301" customFormat="false" ht="15" hidden="false" customHeight="true" outlineLevel="0" collapsed="false">
      <c r="A301" s="19" t="s">
        <v>683</v>
      </c>
      <c r="B301" s="19" t="s">
        <v>684</v>
      </c>
      <c r="C301" s="20" t="s">
        <v>80</v>
      </c>
      <c r="D301" s="21" t="n">
        <v>2523000</v>
      </c>
      <c r="E301" s="21" t="n">
        <v>200654.19</v>
      </c>
      <c r="F301" s="22" t="n">
        <v>0.1729</v>
      </c>
      <c r="G301" s="20" t="n">
        <v>84</v>
      </c>
      <c r="H301" s="21" t="n">
        <v>51983.25</v>
      </c>
      <c r="I301" s="23" t="n">
        <v>43745</v>
      </c>
      <c r="J301" s="23" t="n">
        <v>46265</v>
      </c>
      <c r="K301" s="20" t="s">
        <v>81</v>
      </c>
      <c r="L301" s="24" t="n">
        <v>0</v>
      </c>
      <c r="M301" s="25" t="s">
        <v>77</v>
      </c>
      <c r="N301" s="20" t="n">
        <v>597</v>
      </c>
    </row>
    <row r="302" customFormat="false" ht="15" hidden="false" customHeight="true" outlineLevel="0" collapsed="false">
      <c r="A302" s="26" t="s">
        <v>685</v>
      </c>
      <c r="B302" s="26" t="s">
        <v>686</v>
      </c>
      <c r="C302" s="27" t="s">
        <v>75</v>
      </c>
      <c r="D302" s="28" t="n">
        <v>1181000</v>
      </c>
      <c r="E302" s="28" t="n">
        <v>0.06</v>
      </c>
      <c r="F302" s="29" t="n">
        <v>0.1639</v>
      </c>
      <c r="G302" s="27" t="n">
        <v>12</v>
      </c>
      <c r="H302" s="28" t="n">
        <v>107371.22</v>
      </c>
      <c r="I302" s="30" t="n">
        <v>43151</v>
      </c>
      <c r="J302" s="30" t="n">
        <v>43511</v>
      </c>
      <c r="K302" s="27" t="s">
        <v>81</v>
      </c>
      <c r="L302" s="31" t="n">
        <v>0</v>
      </c>
      <c r="M302" s="25" t="s">
        <v>77</v>
      </c>
      <c r="N302" s="27" t="n">
        <v>691</v>
      </c>
    </row>
    <row r="303" customFormat="false" ht="15" hidden="false" customHeight="true" outlineLevel="0" collapsed="false">
      <c r="A303" s="19" t="s">
        <v>687</v>
      </c>
      <c r="B303" s="19" t="s">
        <v>688</v>
      </c>
      <c r="C303" s="20" t="s">
        <v>80</v>
      </c>
      <c r="D303" s="21" t="n">
        <v>4025000</v>
      </c>
      <c r="E303" s="21" t="n">
        <v>2572337.81</v>
      </c>
      <c r="F303" s="22" t="n">
        <v>0.1957</v>
      </c>
      <c r="G303" s="20" t="n">
        <v>120</v>
      </c>
      <c r="H303" s="21" t="n">
        <v>76641.35</v>
      </c>
      <c r="I303" s="23" t="n">
        <v>44020</v>
      </c>
      <c r="J303" s="23" t="n">
        <v>47620</v>
      </c>
      <c r="K303" s="20" t="s">
        <v>81</v>
      </c>
      <c r="L303" s="24" t="n">
        <v>0</v>
      </c>
      <c r="M303" s="25" t="s">
        <v>77</v>
      </c>
      <c r="N303" s="20" t="n">
        <v>690</v>
      </c>
    </row>
    <row r="304" customFormat="false" ht="15" hidden="false" customHeight="true" outlineLevel="0" collapsed="false">
      <c r="A304" s="26" t="s">
        <v>689</v>
      </c>
      <c r="B304" s="26" t="s">
        <v>690</v>
      </c>
      <c r="C304" s="27" t="s">
        <v>91</v>
      </c>
      <c r="D304" s="28" t="n">
        <v>436000</v>
      </c>
      <c r="E304" s="28" t="n">
        <v>380747.4</v>
      </c>
      <c r="F304" s="29" t="n">
        <v>0.1428</v>
      </c>
      <c r="G304" s="27" t="n">
        <v>240</v>
      </c>
      <c r="H304" s="28" t="n">
        <v>5510.64</v>
      </c>
      <c r="I304" s="30" t="n">
        <v>43316</v>
      </c>
      <c r="J304" s="30" t="n">
        <v>50516</v>
      </c>
      <c r="K304" s="27" t="s">
        <v>81</v>
      </c>
      <c r="L304" s="31" t="n">
        <v>0</v>
      </c>
      <c r="M304" s="25" t="s">
        <v>77</v>
      </c>
      <c r="N304" s="27" t="n">
        <v>664</v>
      </c>
    </row>
    <row r="305" customFormat="false" ht="15" hidden="false" customHeight="true" outlineLevel="0" collapsed="false">
      <c r="A305" s="19" t="s">
        <v>691</v>
      </c>
      <c r="B305" s="19" t="s">
        <v>692</v>
      </c>
      <c r="C305" s="20" t="s">
        <v>99</v>
      </c>
      <c r="D305" s="21" t="n">
        <v>1447000</v>
      </c>
      <c r="E305" s="21" t="n">
        <v>0.07</v>
      </c>
      <c r="F305" s="22" t="n">
        <v>0.216</v>
      </c>
      <c r="G305" s="20" t="n">
        <v>84</v>
      </c>
      <c r="H305" s="21" t="n">
        <v>33540.8</v>
      </c>
      <c r="I305" s="23" t="n">
        <v>43454</v>
      </c>
      <c r="J305" s="23" t="n">
        <v>45974</v>
      </c>
      <c r="K305" s="20" t="s">
        <v>76</v>
      </c>
      <c r="L305" s="24" t="n">
        <v>0</v>
      </c>
      <c r="M305" s="25" t="s">
        <v>77</v>
      </c>
      <c r="N305" s="20" t="n">
        <v>751</v>
      </c>
    </row>
    <row r="306" customFormat="false" ht="15" hidden="false" customHeight="true" outlineLevel="0" collapsed="false">
      <c r="A306" s="26" t="s">
        <v>693</v>
      </c>
      <c r="B306" s="26" t="s">
        <v>694</v>
      </c>
      <c r="C306" s="27" t="s">
        <v>75</v>
      </c>
      <c r="D306" s="28" t="n">
        <v>1554000</v>
      </c>
      <c r="E306" s="28" t="n">
        <v>1425503.65</v>
      </c>
      <c r="F306" s="29" t="n">
        <v>0.1815</v>
      </c>
      <c r="G306" s="27" t="n">
        <v>180</v>
      </c>
      <c r="H306" s="28" t="n">
        <v>25193.84</v>
      </c>
      <c r="I306" s="30" t="n">
        <v>44609</v>
      </c>
      <c r="J306" s="30" t="n">
        <v>50009</v>
      </c>
      <c r="K306" s="27" t="s">
        <v>76</v>
      </c>
      <c r="L306" s="31" t="n">
        <v>0</v>
      </c>
      <c r="M306" s="32" t="s">
        <v>104</v>
      </c>
      <c r="N306" s="27" t="n">
        <v>707</v>
      </c>
    </row>
    <row r="307" customFormat="false" ht="15" hidden="false" customHeight="true" outlineLevel="0" collapsed="false">
      <c r="A307" s="19" t="s">
        <v>695</v>
      </c>
      <c r="B307" s="19" t="s">
        <v>696</v>
      </c>
      <c r="C307" s="20" t="s">
        <v>84</v>
      </c>
      <c r="D307" s="21" t="n">
        <v>795000</v>
      </c>
      <c r="E307" s="21" t="n">
        <v>0.04</v>
      </c>
      <c r="F307" s="22" t="n">
        <v>0.2295</v>
      </c>
      <c r="G307" s="20" t="n">
        <v>12</v>
      </c>
      <c r="H307" s="21" t="n">
        <v>74771.49</v>
      </c>
      <c r="I307" s="23" t="n">
        <v>44055</v>
      </c>
      <c r="J307" s="23" t="n">
        <v>44415</v>
      </c>
      <c r="K307" s="20" t="s">
        <v>76</v>
      </c>
      <c r="L307" s="24" t="n">
        <v>0</v>
      </c>
      <c r="M307" s="25" t="s">
        <v>77</v>
      </c>
      <c r="N307" s="20" t="n">
        <v>533</v>
      </c>
    </row>
    <row r="308" customFormat="false" ht="15" hidden="false" customHeight="true" outlineLevel="0" collapsed="false">
      <c r="A308" s="26" t="s">
        <v>697</v>
      </c>
      <c r="B308" s="26" t="s">
        <v>698</v>
      </c>
      <c r="C308" s="27" t="s">
        <v>99</v>
      </c>
      <c r="D308" s="28" t="n">
        <v>57000</v>
      </c>
      <c r="E308" s="28" t="n">
        <v>0</v>
      </c>
      <c r="F308" s="29" t="n">
        <v>0.1869</v>
      </c>
      <c r="G308" s="27" t="n">
        <v>60</v>
      </c>
      <c r="H308" s="28" t="n">
        <v>1468.91</v>
      </c>
      <c r="I308" s="30" t="n">
        <v>43526</v>
      </c>
      <c r="J308" s="30" t="n">
        <v>45326</v>
      </c>
      <c r="K308" s="27" t="s">
        <v>81</v>
      </c>
      <c r="L308" s="31" t="n">
        <v>0</v>
      </c>
      <c r="M308" s="25" t="s">
        <v>77</v>
      </c>
      <c r="N308" s="27" t="n">
        <v>628</v>
      </c>
    </row>
    <row r="309" customFormat="false" ht="15" hidden="false" customHeight="true" outlineLevel="0" collapsed="false">
      <c r="A309" s="19" t="s">
        <v>699</v>
      </c>
      <c r="B309" s="19" t="s">
        <v>700</v>
      </c>
      <c r="C309" s="20" t="s">
        <v>99</v>
      </c>
      <c r="D309" s="21" t="n">
        <v>1435000</v>
      </c>
      <c r="E309" s="21" t="n">
        <v>569174.05</v>
      </c>
      <c r="F309" s="22" t="n">
        <v>0.0918</v>
      </c>
      <c r="G309" s="20" t="n">
        <v>48</v>
      </c>
      <c r="H309" s="21" t="n">
        <v>35832.81</v>
      </c>
      <c r="I309" s="23" t="n">
        <v>45229</v>
      </c>
      <c r="J309" s="23" t="n">
        <v>46669</v>
      </c>
      <c r="K309" s="20" t="s">
        <v>81</v>
      </c>
      <c r="L309" s="24" t="n">
        <v>0</v>
      </c>
      <c r="M309" s="25" t="s">
        <v>77</v>
      </c>
      <c r="N309" s="20" t="n">
        <v>713</v>
      </c>
    </row>
    <row r="310" customFormat="false" ht="15" hidden="false" customHeight="true" outlineLevel="0" collapsed="false">
      <c r="A310" s="26" t="s">
        <v>701</v>
      </c>
      <c r="B310" s="26" t="s">
        <v>702</v>
      </c>
      <c r="C310" s="27" t="s">
        <v>80</v>
      </c>
      <c r="D310" s="28" t="n">
        <v>523000</v>
      </c>
      <c r="E310" s="28" t="n">
        <v>180435.47</v>
      </c>
      <c r="F310" s="29" t="n">
        <v>0.1057</v>
      </c>
      <c r="G310" s="27" t="n">
        <v>120</v>
      </c>
      <c r="H310" s="28" t="n">
        <v>7077.62</v>
      </c>
      <c r="I310" s="30" t="n">
        <v>43407</v>
      </c>
      <c r="J310" s="30" t="n">
        <v>47007</v>
      </c>
      <c r="K310" s="27" t="s">
        <v>76</v>
      </c>
      <c r="L310" s="31" t="n">
        <v>0</v>
      </c>
      <c r="M310" s="25" t="s">
        <v>77</v>
      </c>
      <c r="N310" s="27" t="n">
        <v>662</v>
      </c>
    </row>
    <row r="311" customFormat="false" ht="15" hidden="false" customHeight="true" outlineLevel="0" collapsed="false">
      <c r="A311" s="19" t="s">
        <v>703</v>
      </c>
      <c r="B311" s="19" t="s">
        <v>704</v>
      </c>
      <c r="C311" s="20" t="s">
        <v>80</v>
      </c>
      <c r="D311" s="21" t="n">
        <v>4014000</v>
      </c>
      <c r="E311" s="21" t="n">
        <v>1848178.44</v>
      </c>
      <c r="F311" s="22" t="n">
        <v>0.1936</v>
      </c>
      <c r="G311" s="20" t="n">
        <v>84</v>
      </c>
      <c r="H311" s="21" t="n">
        <v>87595.32</v>
      </c>
      <c r="I311" s="23" t="n">
        <v>44403</v>
      </c>
      <c r="J311" s="23" t="n">
        <v>46923</v>
      </c>
      <c r="K311" s="20" t="s">
        <v>81</v>
      </c>
      <c r="L311" s="24" t="n">
        <v>0</v>
      </c>
      <c r="M311" s="25" t="s">
        <v>77</v>
      </c>
      <c r="N311" s="20" t="n">
        <v>665</v>
      </c>
    </row>
    <row r="312" customFormat="false" ht="15" hidden="false" customHeight="true" outlineLevel="0" collapsed="false">
      <c r="A312" s="26" t="s">
        <v>705</v>
      </c>
      <c r="B312" s="26" t="s">
        <v>706</v>
      </c>
      <c r="C312" s="27" t="s">
        <v>80</v>
      </c>
      <c r="D312" s="28" t="n">
        <v>3862000</v>
      </c>
      <c r="E312" s="28" t="n">
        <v>0.03</v>
      </c>
      <c r="F312" s="29" t="n">
        <v>0.1019</v>
      </c>
      <c r="G312" s="27" t="n">
        <v>24</v>
      </c>
      <c r="H312" s="28" t="n">
        <v>178550.57</v>
      </c>
      <c r="I312" s="30" t="n">
        <v>43774</v>
      </c>
      <c r="J312" s="30" t="n">
        <v>44494</v>
      </c>
      <c r="K312" s="27" t="s">
        <v>81</v>
      </c>
      <c r="L312" s="31" t="n">
        <v>0</v>
      </c>
      <c r="M312" s="25" t="s">
        <v>77</v>
      </c>
      <c r="N312" s="27" t="n">
        <v>739</v>
      </c>
    </row>
    <row r="313" customFormat="false" ht="15" hidden="false" customHeight="true" outlineLevel="0" collapsed="false">
      <c r="A313" s="19" t="s">
        <v>707</v>
      </c>
      <c r="B313" s="19" t="s">
        <v>708</v>
      </c>
      <c r="C313" s="20" t="s">
        <v>91</v>
      </c>
      <c r="D313" s="21" t="n">
        <v>2344000</v>
      </c>
      <c r="E313" s="21" t="n">
        <v>0.01</v>
      </c>
      <c r="F313" s="22" t="n">
        <v>0.2171</v>
      </c>
      <c r="G313" s="20" t="n">
        <v>24</v>
      </c>
      <c r="H313" s="21" t="n">
        <v>121266.97</v>
      </c>
      <c r="I313" s="23" t="n">
        <v>43746</v>
      </c>
      <c r="J313" s="23" t="n">
        <v>44466</v>
      </c>
      <c r="K313" s="20" t="s">
        <v>94</v>
      </c>
      <c r="L313" s="24" t="n">
        <v>0</v>
      </c>
      <c r="M313" s="25" t="s">
        <v>77</v>
      </c>
      <c r="N313" s="20" t="n">
        <v>681</v>
      </c>
    </row>
    <row r="314" customFormat="false" ht="15" hidden="false" customHeight="true" outlineLevel="0" collapsed="false">
      <c r="A314" s="26" t="s">
        <v>709</v>
      </c>
      <c r="B314" s="26" t="s">
        <v>710</v>
      </c>
      <c r="C314" s="27" t="s">
        <v>80</v>
      </c>
      <c r="D314" s="28" t="n">
        <v>4188000</v>
      </c>
      <c r="E314" s="28" t="n">
        <v>0</v>
      </c>
      <c r="F314" s="29" t="n">
        <v>0.1358</v>
      </c>
      <c r="G314" s="27" t="n">
        <v>24</v>
      </c>
      <c r="H314" s="28" t="n">
        <v>200248</v>
      </c>
      <c r="I314" s="30" t="n">
        <v>44117</v>
      </c>
      <c r="J314" s="30" t="n">
        <v>44837</v>
      </c>
      <c r="K314" s="27" t="s">
        <v>81</v>
      </c>
      <c r="L314" s="31" t="n">
        <v>0</v>
      </c>
      <c r="M314" s="25" t="s">
        <v>77</v>
      </c>
      <c r="N314" s="27" t="n">
        <v>582</v>
      </c>
    </row>
    <row r="315" customFormat="false" ht="15" hidden="false" customHeight="true" outlineLevel="0" collapsed="false">
      <c r="A315" s="19" t="s">
        <v>711</v>
      </c>
      <c r="B315" s="19" t="s">
        <v>712</v>
      </c>
      <c r="C315" s="20" t="s">
        <v>91</v>
      </c>
      <c r="D315" s="21" t="n">
        <v>2052000</v>
      </c>
      <c r="E315" s="21" t="n">
        <v>1917450.24</v>
      </c>
      <c r="F315" s="22" t="n">
        <v>0.1551</v>
      </c>
      <c r="G315" s="20" t="n">
        <v>240</v>
      </c>
      <c r="H315" s="21" t="n">
        <v>27796.91</v>
      </c>
      <c r="I315" s="23" t="n">
        <v>44124</v>
      </c>
      <c r="J315" s="23" t="n">
        <v>51324</v>
      </c>
      <c r="K315" s="20" t="s">
        <v>81</v>
      </c>
      <c r="L315" s="24" t="n">
        <v>0</v>
      </c>
      <c r="M315" s="25" t="s">
        <v>77</v>
      </c>
      <c r="N315" s="20" t="n">
        <v>690</v>
      </c>
    </row>
    <row r="316" customFormat="false" ht="15" hidden="false" customHeight="true" outlineLevel="0" collapsed="false">
      <c r="A316" s="26" t="s">
        <v>713</v>
      </c>
      <c r="B316" s="26" t="s">
        <v>714</v>
      </c>
      <c r="C316" s="27" t="s">
        <v>80</v>
      </c>
      <c r="D316" s="28" t="n">
        <v>355000</v>
      </c>
      <c r="E316" s="28" t="n">
        <v>0</v>
      </c>
      <c r="F316" s="29" t="n">
        <v>0.206</v>
      </c>
      <c r="G316" s="27" t="n">
        <v>48</v>
      </c>
      <c r="H316" s="28" t="n">
        <v>10916.59</v>
      </c>
      <c r="I316" s="30" t="n">
        <v>43636</v>
      </c>
      <c r="J316" s="30" t="n">
        <v>45076</v>
      </c>
      <c r="K316" s="27" t="s">
        <v>81</v>
      </c>
      <c r="L316" s="31" t="n">
        <v>0</v>
      </c>
      <c r="M316" s="25" t="s">
        <v>77</v>
      </c>
      <c r="N316" s="27" t="n">
        <v>668</v>
      </c>
    </row>
    <row r="317" customFormat="false" ht="15" hidden="false" customHeight="true" outlineLevel="0" collapsed="false">
      <c r="A317" s="19" t="s">
        <v>715</v>
      </c>
      <c r="B317" s="19" t="s">
        <v>716</v>
      </c>
      <c r="C317" s="20" t="s">
        <v>99</v>
      </c>
      <c r="D317" s="21" t="n">
        <v>4591000</v>
      </c>
      <c r="E317" s="21" t="n">
        <v>0.02</v>
      </c>
      <c r="F317" s="22" t="n">
        <v>0.0966</v>
      </c>
      <c r="G317" s="20" t="n">
        <v>24</v>
      </c>
      <c r="H317" s="21" t="n">
        <v>211131.63</v>
      </c>
      <c r="I317" s="23" t="n">
        <v>43910</v>
      </c>
      <c r="J317" s="23" t="n">
        <v>44630</v>
      </c>
      <c r="K317" s="20" t="s">
        <v>94</v>
      </c>
      <c r="L317" s="24" t="n">
        <v>0</v>
      </c>
      <c r="M317" s="25" t="s">
        <v>77</v>
      </c>
      <c r="N317" s="20" t="n">
        <v>761</v>
      </c>
    </row>
    <row r="318" customFormat="false" ht="15" hidden="false" customHeight="true" outlineLevel="0" collapsed="false">
      <c r="A318" s="26" t="s">
        <v>717</v>
      </c>
      <c r="B318" s="26" t="s">
        <v>718</v>
      </c>
      <c r="C318" s="27" t="s">
        <v>80</v>
      </c>
      <c r="D318" s="28" t="n">
        <v>4714000</v>
      </c>
      <c r="E318" s="28" t="n">
        <v>3326850.45</v>
      </c>
      <c r="F318" s="29" t="n">
        <v>0.0928</v>
      </c>
      <c r="G318" s="27" t="n">
        <v>120</v>
      </c>
      <c r="H318" s="28" t="n">
        <v>60431.64</v>
      </c>
      <c r="I318" s="30" t="n">
        <v>44718</v>
      </c>
      <c r="J318" s="30" t="n">
        <v>48318</v>
      </c>
      <c r="K318" s="27" t="s">
        <v>81</v>
      </c>
      <c r="L318" s="38" t="n">
        <v>1</v>
      </c>
      <c r="M318" s="34" t="s">
        <v>194</v>
      </c>
      <c r="N318" s="27" t="n">
        <v>723</v>
      </c>
    </row>
    <row r="319" customFormat="false" ht="15" hidden="false" customHeight="true" outlineLevel="0" collapsed="false">
      <c r="A319" s="19" t="s">
        <v>719</v>
      </c>
      <c r="B319" s="19" t="s">
        <v>720</v>
      </c>
      <c r="C319" s="20" t="s">
        <v>80</v>
      </c>
      <c r="D319" s="21" t="n">
        <v>1435000</v>
      </c>
      <c r="E319" s="21" t="n">
        <v>0</v>
      </c>
      <c r="F319" s="22" t="n">
        <v>0.2219</v>
      </c>
      <c r="G319" s="20" t="n">
        <v>12</v>
      </c>
      <c r="H319" s="21" t="n">
        <v>134439.19</v>
      </c>
      <c r="I319" s="23" t="n">
        <v>44107</v>
      </c>
      <c r="J319" s="23" t="n">
        <v>44467</v>
      </c>
      <c r="K319" s="20" t="s">
        <v>94</v>
      </c>
      <c r="L319" s="24" t="n">
        <v>0</v>
      </c>
      <c r="M319" s="25" t="s">
        <v>77</v>
      </c>
      <c r="N319" s="20" t="n">
        <v>681</v>
      </c>
    </row>
    <row r="320" customFormat="false" ht="15" hidden="false" customHeight="true" outlineLevel="0" collapsed="false">
      <c r="A320" s="26" t="s">
        <v>721</v>
      </c>
      <c r="B320" s="26" t="s">
        <v>722</v>
      </c>
      <c r="C320" s="27" t="s">
        <v>91</v>
      </c>
      <c r="D320" s="28" t="n">
        <v>484000</v>
      </c>
      <c r="E320" s="28" t="n">
        <v>268801.43</v>
      </c>
      <c r="F320" s="29" t="n">
        <v>0.1444</v>
      </c>
      <c r="G320" s="27" t="n">
        <v>120</v>
      </c>
      <c r="H320" s="28" t="n">
        <v>7643.47</v>
      </c>
      <c r="I320" s="30" t="n">
        <v>43917</v>
      </c>
      <c r="J320" s="30" t="n">
        <v>47517</v>
      </c>
      <c r="K320" s="27" t="s">
        <v>94</v>
      </c>
      <c r="L320" s="31" t="n">
        <v>0</v>
      </c>
      <c r="M320" s="25" t="s">
        <v>77</v>
      </c>
      <c r="N320" s="27" t="n">
        <v>720</v>
      </c>
    </row>
    <row r="321" customFormat="false" ht="15" hidden="false" customHeight="true" outlineLevel="0" collapsed="false">
      <c r="A321" s="19" t="s">
        <v>723</v>
      </c>
      <c r="B321" s="19" t="s">
        <v>724</v>
      </c>
      <c r="C321" s="20" t="s">
        <v>99</v>
      </c>
      <c r="D321" s="21" t="n">
        <v>1943000</v>
      </c>
      <c r="E321" s="21" t="n">
        <v>1881748.15</v>
      </c>
      <c r="F321" s="22" t="n">
        <v>0.1956</v>
      </c>
      <c r="G321" s="20" t="n">
        <v>180</v>
      </c>
      <c r="H321" s="21" t="n">
        <v>33494.93</v>
      </c>
      <c r="I321" s="23" t="n">
        <v>45331</v>
      </c>
      <c r="J321" s="23" t="n">
        <v>50731</v>
      </c>
      <c r="K321" s="20" t="s">
        <v>81</v>
      </c>
      <c r="L321" s="24" t="n">
        <v>0</v>
      </c>
      <c r="M321" s="25" t="s">
        <v>77</v>
      </c>
      <c r="N321" s="20" t="n">
        <v>654</v>
      </c>
    </row>
    <row r="322" customFormat="false" ht="15" hidden="false" customHeight="true" outlineLevel="0" collapsed="false">
      <c r="A322" s="26" t="s">
        <v>725</v>
      </c>
      <c r="B322" s="26" t="s">
        <v>726</v>
      </c>
      <c r="C322" s="27" t="s">
        <v>91</v>
      </c>
      <c r="D322" s="28" t="n">
        <v>940000</v>
      </c>
      <c r="E322" s="28" t="n">
        <v>0</v>
      </c>
      <c r="F322" s="29" t="n">
        <v>0.1344</v>
      </c>
      <c r="G322" s="27" t="n">
        <v>48</v>
      </c>
      <c r="H322" s="28" t="n">
        <v>25423.61</v>
      </c>
      <c r="I322" s="30" t="n">
        <v>43221</v>
      </c>
      <c r="J322" s="30" t="n">
        <v>44661</v>
      </c>
      <c r="K322" s="27" t="s">
        <v>81</v>
      </c>
      <c r="L322" s="31" t="n">
        <v>0</v>
      </c>
      <c r="M322" s="36" t="s">
        <v>286</v>
      </c>
      <c r="N322" s="27" t="n">
        <v>665</v>
      </c>
    </row>
    <row r="323" customFormat="false" ht="15" hidden="false" customHeight="true" outlineLevel="0" collapsed="false">
      <c r="A323" s="19" t="s">
        <v>727</v>
      </c>
      <c r="B323" s="19" t="s">
        <v>728</v>
      </c>
      <c r="C323" s="20" t="s">
        <v>91</v>
      </c>
      <c r="D323" s="21" t="n">
        <v>840000</v>
      </c>
      <c r="E323" s="21" t="n">
        <v>0</v>
      </c>
      <c r="F323" s="22" t="n">
        <v>0.1234</v>
      </c>
      <c r="G323" s="20" t="n">
        <v>48</v>
      </c>
      <c r="H323" s="21" t="n">
        <v>22260.91</v>
      </c>
      <c r="I323" s="23" t="n">
        <v>44192</v>
      </c>
      <c r="J323" s="23" t="n">
        <v>45632</v>
      </c>
      <c r="K323" s="20" t="s">
        <v>76</v>
      </c>
      <c r="L323" s="24" t="n">
        <v>0</v>
      </c>
      <c r="M323" s="25" t="s">
        <v>77</v>
      </c>
      <c r="N323" s="20" t="n">
        <v>619</v>
      </c>
    </row>
    <row r="324" customFormat="false" ht="15" hidden="false" customHeight="true" outlineLevel="0" collapsed="false">
      <c r="A324" s="26" t="s">
        <v>729</v>
      </c>
      <c r="B324" s="26" t="s">
        <v>730</v>
      </c>
      <c r="C324" s="27" t="s">
        <v>84</v>
      </c>
      <c r="D324" s="28" t="n">
        <v>4742000</v>
      </c>
      <c r="E324" s="28" t="n">
        <v>3569686.61</v>
      </c>
      <c r="F324" s="29" t="n">
        <v>0.1742</v>
      </c>
      <c r="G324" s="27" t="n">
        <v>120</v>
      </c>
      <c r="H324" s="28" t="n">
        <v>83681.16</v>
      </c>
      <c r="I324" s="30" t="n">
        <v>44554</v>
      </c>
      <c r="J324" s="30" t="n">
        <v>48154</v>
      </c>
      <c r="K324" s="27" t="s">
        <v>81</v>
      </c>
      <c r="L324" s="31" t="n">
        <v>0</v>
      </c>
      <c r="M324" s="25" t="s">
        <v>77</v>
      </c>
      <c r="N324" s="27" t="n">
        <v>640</v>
      </c>
    </row>
    <row r="325" customFormat="false" ht="15" hidden="false" customHeight="true" outlineLevel="0" collapsed="false">
      <c r="A325" s="19" t="s">
        <v>731</v>
      </c>
      <c r="B325" s="19" t="s">
        <v>732</v>
      </c>
      <c r="C325" s="20" t="s">
        <v>75</v>
      </c>
      <c r="D325" s="21" t="n">
        <v>3518000</v>
      </c>
      <c r="E325" s="21" t="n">
        <v>1341337.72</v>
      </c>
      <c r="F325" s="22" t="n">
        <v>0.2319</v>
      </c>
      <c r="G325" s="20" t="n">
        <v>36</v>
      </c>
      <c r="H325" s="21" t="n">
        <v>136529.43</v>
      </c>
      <c r="I325" s="23" t="n">
        <v>45407</v>
      </c>
      <c r="J325" s="23" t="n">
        <v>46487</v>
      </c>
      <c r="K325" s="20" t="s">
        <v>81</v>
      </c>
      <c r="L325" s="24" t="n">
        <v>0</v>
      </c>
      <c r="M325" s="25" t="s">
        <v>77</v>
      </c>
      <c r="N325" s="20" t="n">
        <v>686</v>
      </c>
    </row>
    <row r="326" customFormat="false" ht="15" hidden="false" customHeight="true" outlineLevel="0" collapsed="false">
      <c r="A326" s="26" t="s">
        <v>733</v>
      </c>
      <c r="B326" s="26" t="s">
        <v>734</v>
      </c>
      <c r="C326" s="27" t="s">
        <v>91</v>
      </c>
      <c r="D326" s="28" t="n">
        <v>919000</v>
      </c>
      <c r="E326" s="28" t="n">
        <v>0</v>
      </c>
      <c r="F326" s="29" t="n">
        <v>0.0909</v>
      </c>
      <c r="G326" s="27" t="n">
        <v>12</v>
      </c>
      <c r="H326" s="28" t="n">
        <v>80406.27</v>
      </c>
      <c r="I326" s="30" t="n">
        <v>44053</v>
      </c>
      <c r="J326" s="30" t="n">
        <v>44413</v>
      </c>
      <c r="K326" s="27" t="s">
        <v>76</v>
      </c>
      <c r="L326" s="31" t="n">
        <v>0</v>
      </c>
      <c r="M326" s="25" t="s">
        <v>77</v>
      </c>
      <c r="N326" s="27" t="n">
        <v>660</v>
      </c>
    </row>
    <row r="327" customFormat="false" ht="15" hidden="false" customHeight="true" outlineLevel="0" collapsed="false">
      <c r="A327" s="19" t="s">
        <v>735</v>
      </c>
      <c r="B327" s="19" t="s">
        <v>736</v>
      </c>
      <c r="C327" s="20" t="s">
        <v>91</v>
      </c>
      <c r="D327" s="21" t="n">
        <v>1737000</v>
      </c>
      <c r="E327" s="21" t="n">
        <v>0</v>
      </c>
      <c r="F327" s="22" t="n">
        <v>0.1125</v>
      </c>
      <c r="G327" s="20" t="n">
        <v>84</v>
      </c>
      <c r="H327" s="21" t="n">
        <v>29970.49</v>
      </c>
      <c r="I327" s="23" t="n">
        <v>43344</v>
      </c>
      <c r="J327" s="23" t="n">
        <v>45864</v>
      </c>
      <c r="K327" s="20" t="s">
        <v>81</v>
      </c>
      <c r="L327" s="37" t="n">
        <v>1</v>
      </c>
      <c r="M327" s="34" t="s">
        <v>194</v>
      </c>
      <c r="N327" s="20" t="n">
        <v>560</v>
      </c>
    </row>
    <row r="328" customFormat="false" ht="15" hidden="false" customHeight="true" outlineLevel="0" collapsed="false">
      <c r="A328" s="26" t="s">
        <v>737</v>
      </c>
      <c r="B328" s="26" t="s">
        <v>738</v>
      </c>
      <c r="C328" s="27" t="s">
        <v>84</v>
      </c>
      <c r="D328" s="28" t="n">
        <v>4240000</v>
      </c>
      <c r="E328" s="28" t="n">
        <v>0</v>
      </c>
      <c r="F328" s="29" t="n">
        <v>0.2184</v>
      </c>
      <c r="G328" s="27" t="n">
        <v>24</v>
      </c>
      <c r="H328" s="28" t="n">
        <v>219628.51</v>
      </c>
      <c r="I328" s="30" t="n">
        <v>44631</v>
      </c>
      <c r="J328" s="30" t="n">
        <v>45351</v>
      </c>
      <c r="K328" s="27" t="s">
        <v>94</v>
      </c>
      <c r="L328" s="31" t="n">
        <v>0</v>
      </c>
      <c r="M328" s="25" t="s">
        <v>77</v>
      </c>
      <c r="N328" s="27" t="n">
        <v>574</v>
      </c>
    </row>
    <row r="329" customFormat="false" ht="15" hidden="false" customHeight="true" outlineLevel="0" collapsed="false">
      <c r="A329" s="19" t="s">
        <v>739</v>
      </c>
      <c r="B329" s="19" t="s">
        <v>740</v>
      </c>
      <c r="C329" s="20" t="s">
        <v>91</v>
      </c>
      <c r="D329" s="21" t="n">
        <v>3675000</v>
      </c>
      <c r="E329" s="21" t="n">
        <v>3219886.5</v>
      </c>
      <c r="F329" s="22" t="n">
        <v>0.1527</v>
      </c>
      <c r="G329" s="20" t="n">
        <v>180</v>
      </c>
      <c r="H329" s="21" t="n">
        <v>52116.13</v>
      </c>
      <c r="I329" s="23" t="n">
        <v>44400</v>
      </c>
      <c r="J329" s="23" t="n">
        <v>49800</v>
      </c>
      <c r="K329" s="20" t="s">
        <v>81</v>
      </c>
      <c r="L329" s="24" t="n">
        <v>0</v>
      </c>
      <c r="M329" s="25" t="s">
        <v>77</v>
      </c>
      <c r="N329" s="20" t="n">
        <v>573</v>
      </c>
    </row>
    <row r="330" customFormat="false" ht="15" hidden="false" customHeight="true" outlineLevel="0" collapsed="false">
      <c r="A330" s="26" t="s">
        <v>741</v>
      </c>
      <c r="B330" s="26" t="s">
        <v>742</v>
      </c>
      <c r="C330" s="27" t="s">
        <v>84</v>
      </c>
      <c r="D330" s="28" t="n">
        <v>1155000</v>
      </c>
      <c r="E330" s="28" t="n">
        <v>0</v>
      </c>
      <c r="F330" s="29" t="n">
        <v>0.1763</v>
      </c>
      <c r="G330" s="27" t="n">
        <v>36</v>
      </c>
      <c r="H330" s="28" t="n">
        <v>41541.95</v>
      </c>
      <c r="I330" s="30" t="n">
        <v>44650</v>
      </c>
      <c r="J330" s="30" t="n">
        <v>45730</v>
      </c>
      <c r="K330" s="27" t="s">
        <v>81</v>
      </c>
      <c r="L330" s="31" t="n">
        <v>0</v>
      </c>
      <c r="M330" s="25" t="s">
        <v>77</v>
      </c>
      <c r="N330" s="27" t="n">
        <v>850</v>
      </c>
    </row>
    <row r="331" customFormat="false" ht="15" hidden="false" customHeight="true" outlineLevel="0" collapsed="false">
      <c r="A331" s="19" t="s">
        <v>743</v>
      </c>
      <c r="B331" s="19" t="s">
        <v>744</v>
      </c>
      <c r="C331" s="20" t="s">
        <v>75</v>
      </c>
      <c r="D331" s="21" t="n">
        <v>1988000</v>
      </c>
      <c r="E331" s="21" t="n">
        <v>0.03</v>
      </c>
      <c r="F331" s="22" t="n">
        <v>0.2391</v>
      </c>
      <c r="G331" s="20" t="n">
        <v>12</v>
      </c>
      <c r="H331" s="21" t="n">
        <v>187897.9</v>
      </c>
      <c r="I331" s="23" t="n">
        <v>43846</v>
      </c>
      <c r="J331" s="23" t="n">
        <v>44206</v>
      </c>
      <c r="K331" s="20" t="s">
        <v>76</v>
      </c>
      <c r="L331" s="24" t="n">
        <v>0</v>
      </c>
      <c r="M331" s="25" t="s">
        <v>77</v>
      </c>
      <c r="N331" s="20" t="n">
        <v>850</v>
      </c>
    </row>
    <row r="332" customFormat="false" ht="15" hidden="false" customHeight="true" outlineLevel="0" collapsed="false">
      <c r="A332" s="26" t="s">
        <v>745</v>
      </c>
      <c r="B332" s="26" t="s">
        <v>746</v>
      </c>
      <c r="C332" s="27" t="s">
        <v>80</v>
      </c>
      <c r="D332" s="28" t="n">
        <v>2849000</v>
      </c>
      <c r="E332" s="28" t="n">
        <v>0</v>
      </c>
      <c r="F332" s="29" t="n">
        <v>0.2302</v>
      </c>
      <c r="G332" s="27" t="n">
        <v>36</v>
      </c>
      <c r="H332" s="28" t="n">
        <v>110313.7</v>
      </c>
      <c r="I332" s="30" t="n">
        <v>44457</v>
      </c>
      <c r="J332" s="30" t="n">
        <v>45537</v>
      </c>
      <c r="K332" s="27" t="s">
        <v>94</v>
      </c>
      <c r="L332" s="31" t="n">
        <v>0</v>
      </c>
      <c r="M332" s="25" t="s">
        <v>77</v>
      </c>
      <c r="N332" s="27" t="n">
        <v>608</v>
      </c>
    </row>
    <row r="333" customFormat="false" ht="15" hidden="false" customHeight="true" outlineLevel="0" collapsed="false">
      <c r="A333" s="19" t="s">
        <v>747</v>
      </c>
      <c r="B333" s="19" t="s">
        <v>748</v>
      </c>
      <c r="C333" s="20" t="s">
        <v>80</v>
      </c>
      <c r="D333" s="21" t="n">
        <v>3559000</v>
      </c>
      <c r="E333" s="21" t="n">
        <v>2369144.69</v>
      </c>
      <c r="F333" s="22" t="n">
        <v>0.1841</v>
      </c>
      <c r="G333" s="20" t="n">
        <v>84</v>
      </c>
      <c r="H333" s="21" t="n">
        <v>75660.19</v>
      </c>
      <c r="I333" s="23" t="n">
        <v>44930</v>
      </c>
      <c r="J333" s="23" t="n">
        <v>47450</v>
      </c>
      <c r="K333" s="20" t="s">
        <v>81</v>
      </c>
      <c r="L333" s="24" t="n">
        <v>0</v>
      </c>
      <c r="M333" s="25" t="s">
        <v>77</v>
      </c>
      <c r="N333" s="20" t="n">
        <v>695</v>
      </c>
    </row>
    <row r="334" customFormat="false" ht="15" hidden="false" customHeight="true" outlineLevel="0" collapsed="false">
      <c r="A334" s="26" t="s">
        <v>749</v>
      </c>
      <c r="B334" s="26" t="s">
        <v>750</v>
      </c>
      <c r="C334" s="27" t="s">
        <v>91</v>
      </c>
      <c r="D334" s="28" t="n">
        <v>3946000</v>
      </c>
      <c r="E334" s="28" t="n">
        <v>0</v>
      </c>
      <c r="F334" s="29" t="n">
        <v>0.1967</v>
      </c>
      <c r="G334" s="27" t="n">
        <v>12</v>
      </c>
      <c r="H334" s="28" t="n">
        <v>364912.83</v>
      </c>
      <c r="I334" s="30" t="n">
        <v>44681</v>
      </c>
      <c r="J334" s="30" t="n">
        <v>45041</v>
      </c>
      <c r="K334" s="27" t="s">
        <v>81</v>
      </c>
      <c r="L334" s="31" t="n">
        <v>0</v>
      </c>
      <c r="M334" s="35" t="s">
        <v>269</v>
      </c>
      <c r="N334" s="27" t="n">
        <v>647</v>
      </c>
    </row>
    <row r="335" customFormat="false" ht="15" hidden="false" customHeight="true" outlineLevel="0" collapsed="false">
      <c r="A335" s="19" t="s">
        <v>751</v>
      </c>
      <c r="B335" s="19" t="s">
        <v>752</v>
      </c>
      <c r="C335" s="20" t="s">
        <v>91</v>
      </c>
      <c r="D335" s="21" t="n">
        <v>552000</v>
      </c>
      <c r="E335" s="21" t="n">
        <v>0.17</v>
      </c>
      <c r="F335" s="22" t="n">
        <v>0.1593</v>
      </c>
      <c r="G335" s="20" t="n">
        <v>48</v>
      </c>
      <c r="H335" s="21" t="n">
        <v>15624.05</v>
      </c>
      <c r="I335" s="23" t="n">
        <v>43767</v>
      </c>
      <c r="J335" s="23" t="n">
        <v>45207</v>
      </c>
      <c r="K335" s="20" t="s">
        <v>81</v>
      </c>
      <c r="L335" s="37" t="n">
        <v>1</v>
      </c>
      <c r="M335" s="36" t="s">
        <v>286</v>
      </c>
      <c r="N335" s="20" t="n">
        <v>597</v>
      </c>
    </row>
    <row r="336" customFormat="false" ht="15" hidden="false" customHeight="true" outlineLevel="0" collapsed="false">
      <c r="A336" s="26" t="s">
        <v>753</v>
      </c>
      <c r="B336" s="26" t="s">
        <v>754</v>
      </c>
      <c r="C336" s="27" t="s">
        <v>80</v>
      </c>
      <c r="D336" s="28" t="n">
        <v>1343000</v>
      </c>
      <c r="E336" s="28" t="n">
        <v>130396.6</v>
      </c>
      <c r="F336" s="29" t="n">
        <v>0.1012</v>
      </c>
      <c r="G336" s="27" t="n">
        <v>84</v>
      </c>
      <c r="H336" s="28" t="n">
        <v>22378.75</v>
      </c>
      <c r="I336" s="30" t="n">
        <v>43797</v>
      </c>
      <c r="J336" s="30" t="n">
        <v>46317</v>
      </c>
      <c r="K336" s="27" t="s">
        <v>81</v>
      </c>
      <c r="L336" s="31" t="n">
        <v>0</v>
      </c>
      <c r="M336" s="25" t="s">
        <v>77</v>
      </c>
      <c r="N336" s="27" t="n">
        <v>739</v>
      </c>
    </row>
    <row r="337" customFormat="false" ht="15" hidden="false" customHeight="true" outlineLevel="0" collapsed="false">
      <c r="A337" s="19" t="s">
        <v>755</v>
      </c>
      <c r="B337" s="19" t="s">
        <v>756</v>
      </c>
      <c r="C337" s="20" t="s">
        <v>91</v>
      </c>
      <c r="D337" s="21" t="n">
        <v>3537000</v>
      </c>
      <c r="E337" s="21" t="n">
        <v>0</v>
      </c>
      <c r="F337" s="22" t="n">
        <v>0.1519</v>
      </c>
      <c r="G337" s="20" t="n">
        <v>36</v>
      </c>
      <c r="H337" s="21" t="n">
        <v>122940.62</v>
      </c>
      <c r="I337" s="23" t="n">
        <v>44879</v>
      </c>
      <c r="J337" s="23" t="n">
        <v>45959</v>
      </c>
      <c r="K337" s="20" t="s">
        <v>81</v>
      </c>
      <c r="L337" s="24" t="n">
        <v>0</v>
      </c>
      <c r="M337" s="25" t="s">
        <v>77</v>
      </c>
      <c r="N337" s="20" t="n">
        <v>838</v>
      </c>
    </row>
    <row r="338" customFormat="false" ht="15" hidden="false" customHeight="true" outlineLevel="0" collapsed="false">
      <c r="A338" s="26" t="s">
        <v>757</v>
      </c>
      <c r="B338" s="26" t="s">
        <v>758</v>
      </c>
      <c r="C338" s="27" t="s">
        <v>91</v>
      </c>
      <c r="D338" s="28" t="n">
        <v>2793000</v>
      </c>
      <c r="E338" s="28" t="n">
        <v>2719488.99</v>
      </c>
      <c r="F338" s="29" t="n">
        <v>0.2285</v>
      </c>
      <c r="G338" s="27" t="n">
        <v>240</v>
      </c>
      <c r="H338" s="28" t="n">
        <v>53764.72</v>
      </c>
      <c r="I338" s="30" t="n">
        <v>44187</v>
      </c>
      <c r="J338" s="30" t="n">
        <v>51387</v>
      </c>
      <c r="K338" s="27" t="s">
        <v>94</v>
      </c>
      <c r="L338" s="31" t="n">
        <v>0</v>
      </c>
      <c r="M338" s="25" t="s">
        <v>77</v>
      </c>
      <c r="N338" s="27" t="n">
        <v>654</v>
      </c>
    </row>
    <row r="339" customFormat="false" ht="15" hidden="false" customHeight="true" outlineLevel="0" collapsed="false">
      <c r="A339" s="19" t="s">
        <v>759</v>
      </c>
      <c r="B339" s="19" t="s">
        <v>760</v>
      </c>
      <c r="C339" s="20" t="s">
        <v>91</v>
      </c>
      <c r="D339" s="21" t="n">
        <v>320000</v>
      </c>
      <c r="E339" s="21" t="n">
        <v>0.02</v>
      </c>
      <c r="F339" s="22" t="n">
        <v>0.0856</v>
      </c>
      <c r="G339" s="20" t="n">
        <v>24</v>
      </c>
      <c r="H339" s="21" t="n">
        <v>14554.6</v>
      </c>
      <c r="I339" s="23" t="n">
        <v>44307</v>
      </c>
      <c r="J339" s="23" t="n">
        <v>45027</v>
      </c>
      <c r="K339" s="20" t="s">
        <v>94</v>
      </c>
      <c r="L339" s="24" t="n">
        <v>0</v>
      </c>
      <c r="M339" s="25" t="s">
        <v>77</v>
      </c>
      <c r="N339" s="20" t="n">
        <v>581</v>
      </c>
    </row>
    <row r="340" customFormat="false" ht="15" hidden="false" customHeight="true" outlineLevel="0" collapsed="false">
      <c r="A340" s="26" t="s">
        <v>761</v>
      </c>
      <c r="B340" s="26" t="s">
        <v>762</v>
      </c>
      <c r="C340" s="27" t="s">
        <v>80</v>
      </c>
      <c r="D340" s="28" t="n">
        <v>896000</v>
      </c>
      <c r="E340" s="28" t="n">
        <v>0.02</v>
      </c>
      <c r="F340" s="29" t="n">
        <v>0.1302</v>
      </c>
      <c r="G340" s="27" t="n">
        <v>24</v>
      </c>
      <c r="H340" s="28" t="n">
        <v>42605.89</v>
      </c>
      <c r="I340" s="30" t="n">
        <v>45040</v>
      </c>
      <c r="J340" s="30" t="n">
        <v>45760</v>
      </c>
      <c r="K340" s="27" t="s">
        <v>81</v>
      </c>
      <c r="L340" s="31" t="n">
        <v>0</v>
      </c>
      <c r="M340" s="25" t="s">
        <v>77</v>
      </c>
      <c r="N340" s="27" t="n">
        <v>641</v>
      </c>
    </row>
    <row r="341" customFormat="false" ht="15" hidden="false" customHeight="true" outlineLevel="0" collapsed="false">
      <c r="A341" s="19" t="s">
        <v>763</v>
      </c>
      <c r="B341" s="19" t="s">
        <v>764</v>
      </c>
      <c r="C341" s="20" t="s">
        <v>99</v>
      </c>
      <c r="D341" s="21" t="n">
        <v>1968000</v>
      </c>
      <c r="E341" s="21" t="n">
        <v>1447582.83</v>
      </c>
      <c r="F341" s="22" t="n">
        <v>0.1425</v>
      </c>
      <c r="G341" s="20" t="n">
        <v>120</v>
      </c>
      <c r="H341" s="21" t="n">
        <v>30852.95</v>
      </c>
      <c r="I341" s="23" t="n">
        <v>44614</v>
      </c>
      <c r="J341" s="23" t="n">
        <v>48214</v>
      </c>
      <c r="K341" s="20" t="s">
        <v>81</v>
      </c>
      <c r="L341" s="24" t="n">
        <v>0</v>
      </c>
      <c r="M341" s="25" t="s">
        <v>77</v>
      </c>
      <c r="N341" s="20" t="n">
        <v>659</v>
      </c>
    </row>
    <row r="342" customFormat="false" ht="15" hidden="false" customHeight="true" outlineLevel="0" collapsed="false">
      <c r="A342" s="26" t="s">
        <v>765</v>
      </c>
      <c r="B342" s="26" t="s">
        <v>766</v>
      </c>
      <c r="C342" s="27" t="s">
        <v>91</v>
      </c>
      <c r="D342" s="28" t="n">
        <v>4194000</v>
      </c>
      <c r="E342" s="28" t="n">
        <v>0.07</v>
      </c>
      <c r="F342" s="29" t="n">
        <v>0.1725</v>
      </c>
      <c r="G342" s="27" t="n">
        <v>36</v>
      </c>
      <c r="H342" s="28" t="n">
        <v>150049.88</v>
      </c>
      <c r="I342" s="30" t="n">
        <v>43497</v>
      </c>
      <c r="J342" s="30" t="n">
        <v>44577</v>
      </c>
      <c r="K342" s="27" t="s">
        <v>81</v>
      </c>
      <c r="L342" s="31" t="n">
        <v>0</v>
      </c>
      <c r="M342" s="25" t="s">
        <v>77</v>
      </c>
      <c r="N342" s="27" t="n">
        <v>784</v>
      </c>
    </row>
    <row r="343" customFormat="false" ht="15" hidden="false" customHeight="true" outlineLevel="0" collapsed="false">
      <c r="A343" s="19" t="s">
        <v>767</v>
      </c>
      <c r="B343" s="19" t="s">
        <v>768</v>
      </c>
      <c r="C343" s="20" t="s">
        <v>99</v>
      </c>
      <c r="D343" s="21" t="n">
        <v>4212000</v>
      </c>
      <c r="E343" s="21" t="n">
        <v>3840450.28</v>
      </c>
      <c r="F343" s="22" t="n">
        <v>0.2119</v>
      </c>
      <c r="G343" s="20" t="n">
        <v>120</v>
      </c>
      <c r="H343" s="21" t="n">
        <v>84749.78</v>
      </c>
      <c r="I343" s="23" t="n">
        <v>45294</v>
      </c>
      <c r="J343" s="23" t="n">
        <v>48894</v>
      </c>
      <c r="K343" s="20" t="s">
        <v>94</v>
      </c>
      <c r="L343" s="24" t="n">
        <v>0</v>
      </c>
      <c r="M343" s="25" t="s">
        <v>77</v>
      </c>
      <c r="N343" s="20" t="n">
        <v>584</v>
      </c>
    </row>
    <row r="344" customFormat="false" ht="15" hidden="false" customHeight="true" outlineLevel="0" collapsed="false">
      <c r="A344" s="26" t="s">
        <v>769</v>
      </c>
      <c r="B344" s="26" t="s">
        <v>770</v>
      </c>
      <c r="C344" s="27" t="s">
        <v>91</v>
      </c>
      <c r="D344" s="28" t="n">
        <v>441000</v>
      </c>
      <c r="E344" s="28" t="n">
        <v>0.01</v>
      </c>
      <c r="F344" s="29" t="n">
        <v>0.2249</v>
      </c>
      <c r="G344" s="27" t="n">
        <v>12</v>
      </c>
      <c r="H344" s="28" t="n">
        <v>41379.19</v>
      </c>
      <c r="I344" s="30" t="n">
        <v>45157</v>
      </c>
      <c r="J344" s="30" t="n">
        <v>45517</v>
      </c>
      <c r="K344" s="27" t="s">
        <v>76</v>
      </c>
      <c r="L344" s="31" t="n">
        <v>0</v>
      </c>
      <c r="M344" s="25" t="s">
        <v>77</v>
      </c>
      <c r="N344" s="27" t="n">
        <v>615</v>
      </c>
    </row>
    <row r="345" customFormat="false" ht="15" hidden="false" customHeight="true" outlineLevel="0" collapsed="false">
      <c r="A345" s="19" t="s">
        <v>771</v>
      </c>
      <c r="B345" s="19" t="s">
        <v>772</v>
      </c>
      <c r="C345" s="20" t="s">
        <v>99</v>
      </c>
      <c r="D345" s="21" t="n">
        <v>2273000</v>
      </c>
      <c r="E345" s="21" t="n">
        <v>0</v>
      </c>
      <c r="F345" s="22" t="n">
        <v>0.2321</v>
      </c>
      <c r="G345" s="20" t="n">
        <v>36</v>
      </c>
      <c r="H345" s="21" t="n">
        <v>88236.18</v>
      </c>
      <c r="I345" s="23" t="n">
        <v>43968</v>
      </c>
      <c r="J345" s="23" t="n">
        <v>45048</v>
      </c>
      <c r="K345" s="20" t="s">
        <v>81</v>
      </c>
      <c r="L345" s="24" t="n">
        <v>0</v>
      </c>
      <c r="M345" s="25" t="s">
        <v>77</v>
      </c>
      <c r="N345" s="20" t="n">
        <v>787</v>
      </c>
    </row>
    <row r="346" customFormat="false" ht="15" hidden="false" customHeight="true" outlineLevel="0" collapsed="false">
      <c r="A346" s="26" t="s">
        <v>773</v>
      </c>
      <c r="B346" s="26" t="s">
        <v>774</v>
      </c>
      <c r="C346" s="27" t="s">
        <v>91</v>
      </c>
      <c r="D346" s="28" t="n">
        <v>4986000</v>
      </c>
      <c r="E346" s="28" t="n">
        <v>248738.75</v>
      </c>
      <c r="F346" s="29" t="n">
        <v>0.1822</v>
      </c>
      <c r="G346" s="27" t="n">
        <v>60</v>
      </c>
      <c r="H346" s="28" t="n">
        <v>127209.11</v>
      </c>
      <c r="I346" s="30" t="n">
        <v>44410</v>
      </c>
      <c r="J346" s="30" t="n">
        <v>46210</v>
      </c>
      <c r="K346" s="27" t="s">
        <v>94</v>
      </c>
      <c r="L346" s="31" t="n">
        <v>0</v>
      </c>
      <c r="M346" s="25" t="s">
        <v>77</v>
      </c>
      <c r="N346" s="27" t="n">
        <v>826</v>
      </c>
    </row>
    <row r="347" customFormat="false" ht="15" hidden="false" customHeight="true" outlineLevel="0" collapsed="false">
      <c r="A347" s="19" t="s">
        <v>775</v>
      </c>
      <c r="B347" s="19" t="s">
        <v>776</v>
      </c>
      <c r="C347" s="20" t="s">
        <v>75</v>
      </c>
      <c r="D347" s="21" t="n">
        <v>2622000</v>
      </c>
      <c r="E347" s="21" t="n">
        <v>0</v>
      </c>
      <c r="F347" s="22" t="n">
        <v>0.2272</v>
      </c>
      <c r="G347" s="20" t="n">
        <v>12</v>
      </c>
      <c r="H347" s="21" t="n">
        <v>246313.94</v>
      </c>
      <c r="I347" s="23" t="n">
        <v>45241</v>
      </c>
      <c r="J347" s="23" t="n">
        <v>45601</v>
      </c>
      <c r="K347" s="20" t="s">
        <v>81</v>
      </c>
      <c r="L347" s="37" t="n">
        <v>1</v>
      </c>
      <c r="M347" s="36" t="s">
        <v>286</v>
      </c>
      <c r="N347" s="20" t="n">
        <v>520</v>
      </c>
    </row>
    <row r="348" customFormat="false" ht="15" hidden="false" customHeight="true" outlineLevel="0" collapsed="false">
      <c r="A348" s="26" t="s">
        <v>777</v>
      </c>
      <c r="B348" s="26" t="s">
        <v>778</v>
      </c>
      <c r="C348" s="27" t="s">
        <v>75</v>
      </c>
      <c r="D348" s="28" t="n">
        <v>2934000</v>
      </c>
      <c r="E348" s="28" t="n">
        <v>0</v>
      </c>
      <c r="F348" s="29" t="n">
        <v>0.2345</v>
      </c>
      <c r="G348" s="27" t="n">
        <v>24</v>
      </c>
      <c r="H348" s="28" t="n">
        <v>154319.56</v>
      </c>
      <c r="I348" s="30" t="n">
        <v>43533</v>
      </c>
      <c r="J348" s="30" t="n">
        <v>44253</v>
      </c>
      <c r="K348" s="27" t="s">
        <v>76</v>
      </c>
      <c r="L348" s="31" t="n">
        <v>0</v>
      </c>
      <c r="M348" s="25" t="s">
        <v>77</v>
      </c>
      <c r="N348" s="27" t="n">
        <v>619</v>
      </c>
    </row>
    <row r="349" customFormat="false" ht="15" hidden="false" customHeight="true" outlineLevel="0" collapsed="false">
      <c r="A349" s="19" t="s">
        <v>779</v>
      </c>
      <c r="B349" s="19" t="s">
        <v>780</v>
      </c>
      <c r="C349" s="20" t="s">
        <v>99</v>
      </c>
      <c r="D349" s="21" t="n">
        <v>3291000</v>
      </c>
      <c r="E349" s="21" t="n">
        <v>2494607.18</v>
      </c>
      <c r="F349" s="22" t="n">
        <v>0.1737</v>
      </c>
      <c r="G349" s="20" t="n">
        <v>180</v>
      </c>
      <c r="H349" s="21" t="n">
        <v>51514.11</v>
      </c>
      <c r="I349" s="23" t="n">
        <v>43254</v>
      </c>
      <c r="J349" s="23" t="n">
        <v>48654</v>
      </c>
      <c r="K349" s="20" t="s">
        <v>81</v>
      </c>
      <c r="L349" s="24" t="n">
        <v>0</v>
      </c>
      <c r="M349" s="25" t="s">
        <v>77</v>
      </c>
      <c r="N349" s="20" t="n">
        <v>715</v>
      </c>
    </row>
    <row r="350" customFormat="false" ht="15" hidden="false" customHeight="true" outlineLevel="0" collapsed="false">
      <c r="A350" s="26" t="s">
        <v>781</v>
      </c>
      <c r="B350" s="26" t="s">
        <v>782</v>
      </c>
      <c r="C350" s="27" t="s">
        <v>75</v>
      </c>
      <c r="D350" s="28" t="n">
        <v>2039000</v>
      </c>
      <c r="E350" s="28" t="n">
        <v>530642.17</v>
      </c>
      <c r="F350" s="29" t="n">
        <v>0.1463</v>
      </c>
      <c r="G350" s="27" t="n">
        <v>84</v>
      </c>
      <c r="H350" s="28" t="n">
        <v>38924.01</v>
      </c>
      <c r="I350" s="30" t="n">
        <v>44074</v>
      </c>
      <c r="J350" s="30" t="n">
        <v>46594</v>
      </c>
      <c r="K350" s="27" t="s">
        <v>81</v>
      </c>
      <c r="L350" s="31" t="n">
        <v>0</v>
      </c>
      <c r="M350" s="33" t="s">
        <v>111</v>
      </c>
      <c r="N350" s="27" t="n">
        <v>626</v>
      </c>
    </row>
    <row r="351" customFormat="false" ht="15" hidden="false" customHeight="true" outlineLevel="0" collapsed="false">
      <c r="A351" s="19" t="s">
        <v>783</v>
      </c>
      <c r="B351" s="19" t="s">
        <v>784</v>
      </c>
      <c r="C351" s="20" t="s">
        <v>80</v>
      </c>
      <c r="D351" s="21" t="n">
        <v>1438000</v>
      </c>
      <c r="E351" s="21" t="n">
        <v>0.04</v>
      </c>
      <c r="F351" s="22" t="n">
        <v>0.1612</v>
      </c>
      <c r="G351" s="20" t="n">
        <v>24</v>
      </c>
      <c r="H351" s="21" t="n">
        <v>70491.43</v>
      </c>
      <c r="I351" s="23" t="n">
        <v>44034</v>
      </c>
      <c r="J351" s="23" t="n">
        <v>44754</v>
      </c>
      <c r="K351" s="20" t="s">
        <v>81</v>
      </c>
      <c r="L351" s="24" t="n">
        <v>0</v>
      </c>
      <c r="M351" s="25" t="s">
        <v>77</v>
      </c>
      <c r="N351" s="20" t="n">
        <v>697</v>
      </c>
    </row>
    <row r="352" customFormat="false" ht="15" hidden="false" customHeight="true" outlineLevel="0" collapsed="false">
      <c r="A352" s="26" t="s">
        <v>785</v>
      </c>
      <c r="B352" s="26" t="s">
        <v>786</v>
      </c>
      <c r="C352" s="27" t="s">
        <v>91</v>
      </c>
      <c r="D352" s="28" t="n">
        <v>2113000</v>
      </c>
      <c r="E352" s="28" t="n">
        <v>412590.83</v>
      </c>
      <c r="F352" s="29" t="n">
        <v>0.1851</v>
      </c>
      <c r="G352" s="27" t="n">
        <v>48</v>
      </c>
      <c r="H352" s="28" t="n">
        <v>62633.9</v>
      </c>
      <c r="I352" s="30" t="n">
        <v>44910</v>
      </c>
      <c r="J352" s="30" t="n">
        <v>46350</v>
      </c>
      <c r="K352" s="27" t="s">
        <v>81</v>
      </c>
      <c r="L352" s="31" t="n">
        <v>0</v>
      </c>
      <c r="M352" s="25" t="s">
        <v>77</v>
      </c>
      <c r="N352" s="27" t="n">
        <v>608</v>
      </c>
    </row>
    <row r="353" customFormat="false" ht="15" hidden="false" customHeight="true" outlineLevel="0" collapsed="false">
      <c r="A353" s="19" t="s">
        <v>787</v>
      </c>
      <c r="B353" s="19" t="s">
        <v>788</v>
      </c>
      <c r="C353" s="20" t="s">
        <v>84</v>
      </c>
      <c r="D353" s="21" t="n">
        <v>2601000</v>
      </c>
      <c r="E353" s="21" t="n">
        <v>1390350.8</v>
      </c>
      <c r="F353" s="22" t="n">
        <v>0.1096</v>
      </c>
      <c r="G353" s="20" t="n">
        <v>60</v>
      </c>
      <c r="H353" s="21" t="n">
        <v>56500.17</v>
      </c>
      <c r="I353" s="23" t="n">
        <v>45176</v>
      </c>
      <c r="J353" s="23" t="n">
        <v>46976</v>
      </c>
      <c r="K353" s="20" t="s">
        <v>81</v>
      </c>
      <c r="L353" s="24" t="n">
        <v>0</v>
      </c>
      <c r="M353" s="25" t="s">
        <v>77</v>
      </c>
      <c r="N353" s="20" t="n">
        <v>769</v>
      </c>
    </row>
    <row r="354" customFormat="false" ht="15" hidden="false" customHeight="true" outlineLevel="0" collapsed="false">
      <c r="A354" s="26" t="s">
        <v>789</v>
      </c>
      <c r="B354" s="26" t="s">
        <v>790</v>
      </c>
      <c r="C354" s="27" t="s">
        <v>80</v>
      </c>
      <c r="D354" s="28" t="n">
        <v>1004000</v>
      </c>
      <c r="E354" s="28" t="n">
        <v>0.04</v>
      </c>
      <c r="F354" s="29" t="n">
        <v>0.2141</v>
      </c>
      <c r="G354" s="27" t="n">
        <v>12</v>
      </c>
      <c r="H354" s="28" t="n">
        <v>93683.9</v>
      </c>
      <c r="I354" s="30" t="n">
        <v>44122</v>
      </c>
      <c r="J354" s="30" t="n">
        <v>44482</v>
      </c>
      <c r="K354" s="27" t="s">
        <v>81</v>
      </c>
      <c r="L354" s="31" t="n">
        <v>0</v>
      </c>
      <c r="M354" s="25" t="s">
        <v>77</v>
      </c>
      <c r="N354" s="27" t="n">
        <v>560</v>
      </c>
    </row>
    <row r="355" customFormat="false" ht="15" hidden="false" customHeight="true" outlineLevel="0" collapsed="false">
      <c r="A355" s="19" t="s">
        <v>791</v>
      </c>
      <c r="B355" s="19" t="s">
        <v>792</v>
      </c>
      <c r="C355" s="20" t="s">
        <v>80</v>
      </c>
      <c r="D355" s="21" t="n">
        <v>2015000</v>
      </c>
      <c r="E355" s="21" t="n">
        <v>0</v>
      </c>
      <c r="F355" s="22" t="n">
        <v>0.2281</v>
      </c>
      <c r="G355" s="20" t="n">
        <v>12</v>
      </c>
      <c r="H355" s="21" t="n">
        <v>189379.07</v>
      </c>
      <c r="I355" s="23" t="n">
        <v>44091</v>
      </c>
      <c r="J355" s="23" t="n">
        <v>44451</v>
      </c>
      <c r="K355" s="20" t="s">
        <v>81</v>
      </c>
      <c r="L355" s="24" t="n">
        <v>0</v>
      </c>
      <c r="M355" s="25" t="s">
        <v>77</v>
      </c>
      <c r="N355" s="20" t="n">
        <v>609</v>
      </c>
    </row>
    <row r="356" customFormat="false" ht="15" hidden="false" customHeight="true" outlineLevel="0" collapsed="false">
      <c r="A356" s="26" t="s">
        <v>793</v>
      </c>
      <c r="B356" s="26" t="s">
        <v>794</v>
      </c>
      <c r="C356" s="27" t="s">
        <v>75</v>
      </c>
      <c r="D356" s="28" t="n">
        <v>1781000</v>
      </c>
      <c r="E356" s="28" t="n">
        <v>0</v>
      </c>
      <c r="F356" s="29" t="n">
        <v>0.1103</v>
      </c>
      <c r="G356" s="27" t="n">
        <v>60</v>
      </c>
      <c r="H356" s="28" t="n">
        <v>38749.91</v>
      </c>
      <c r="I356" s="30" t="n">
        <v>43471</v>
      </c>
      <c r="J356" s="30" t="n">
        <v>45271</v>
      </c>
      <c r="K356" s="27" t="s">
        <v>81</v>
      </c>
      <c r="L356" s="38" t="n">
        <v>1</v>
      </c>
      <c r="M356" s="36" t="s">
        <v>286</v>
      </c>
      <c r="N356" s="27" t="n">
        <v>735</v>
      </c>
    </row>
    <row r="357" customFormat="false" ht="15" hidden="false" customHeight="true" outlineLevel="0" collapsed="false">
      <c r="A357" s="19" t="s">
        <v>795</v>
      </c>
      <c r="B357" s="19" t="s">
        <v>796</v>
      </c>
      <c r="C357" s="20" t="s">
        <v>99</v>
      </c>
      <c r="D357" s="21" t="n">
        <v>1146000</v>
      </c>
      <c r="E357" s="21" t="n">
        <v>0</v>
      </c>
      <c r="F357" s="22" t="n">
        <v>0.1199</v>
      </c>
      <c r="G357" s="20" t="n">
        <v>48</v>
      </c>
      <c r="H357" s="21" t="n">
        <v>30172.95</v>
      </c>
      <c r="I357" s="23" t="n">
        <v>44203</v>
      </c>
      <c r="J357" s="23" t="n">
        <v>45643</v>
      </c>
      <c r="K357" s="20" t="s">
        <v>94</v>
      </c>
      <c r="L357" s="24" t="n">
        <v>0</v>
      </c>
      <c r="M357" s="25" t="s">
        <v>77</v>
      </c>
      <c r="N357" s="20" t="n">
        <v>680</v>
      </c>
    </row>
    <row r="358" customFormat="false" ht="15" hidden="false" customHeight="true" outlineLevel="0" collapsed="false">
      <c r="A358" s="26" t="s">
        <v>797</v>
      </c>
      <c r="B358" s="26" t="s">
        <v>798</v>
      </c>
      <c r="C358" s="27" t="s">
        <v>80</v>
      </c>
      <c r="D358" s="28" t="n">
        <v>4562000</v>
      </c>
      <c r="E358" s="28" t="n">
        <v>0.01</v>
      </c>
      <c r="F358" s="29" t="n">
        <v>0.1853</v>
      </c>
      <c r="G358" s="27" t="n">
        <v>12</v>
      </c>
      <c r="H358" s="28" t="n">
        <v>419395.68</v>
      </c>
      <c r="I358" s="30" t="n">
        <v>44017</v>
      </c>
      <c r="J358" s="30" t="n">
        <v>44377</v>
      </c>
      <c r="K358" s="27" t="s">
        <v>81</v>
      </c>
      <c r="L358" s="31" t="n">
        <v>0</v>
      </c>
      <c r="M358" s="33" t="s">
        <v>111</v>
      </c>
      <c r="N358" s="27" t="n">
        <v>615</v>
      </c>
    </row>
    <row r="359" customFormat="false" ht="15" hidden="false" customHeight="true" outlineLevel="0" collapsed="false">
      <c r="A359" s="19" t="s">
        <v>799</v>
      </c>
      <c r="B359" s="19" t="s">
        <v>800</v>
      </c>
      <c r="C359" s="20" t="s">
        <v>99</v>
      </c>
      <c r="D359" s="21" t="n">
        <v>1914000</v>
      </c>
      <c r="E359" s="21" t="n">
        <v>0</v>
      </c>
      <c r="F359" s="22" t="n">
        <v>0.139</v>
      </c>
      <c r="G359" s="20" t="n">
        <v>60</v>
      </c>
      <c r="H359" s="21" t="n">
        <v>44436.27</v>
      </c>
      <c r="I359" s="23" t="n">
        <v>43994</v>
      </c>
      <c r="J359" s="23" t="n">
        <v>45794</v>
      </c>
      <c r="K359" s="20" t="s">
        <v>81</v>
      </c>
      <c r="L359" s="24" t="n">
        <v>0</v>
      </c>
      <c r="M359" s="25" t="s">
        <v>77</v>
      </c>
      <c r="N359" s="20" t="n">
        <v>617</v>
      </c>
    </row>
    <row r="360" customFormat="false" ht="15" hidden="false" customHeight="true" outlineLevel="0" collapsed="false">
      <c r="A360" s="26" t="s">
        <v>801</v>
      </c>
      <c r="B360" s="26" t="s">
        <v>802</v>
      </c>
      <c r="C360" s="27" t="s">
        <v>91</v>
      </c>
      <c r="D360" s="28" t="n">
        <v>556000</v>
      </c>
      <c r="E360" s="28" t="n">
        <v>450502.65</v>
      </c>
      <c r="F360" s="29" t="n">
        <v>0.1643</v>
      </c>
      <c r="G360" s="27" t="n">
        <v>84</v>
      </c>
      <c r="H360" s="28" t="n">
        <v>11179.91</v>
      </c>
      <c r="I360" s="30" t="n">
        <v>45400</v>
      </c>
      <c r="J360" s="30" t="n">
        <v>47920</v>
      </c>
      <c r="K360" s="27" t="s">
        <v>94</v>
      </c>
      <c r="L360" s="31" t="n">
        <v>0</v>
      </c>
      <c r="M360" s="25" t="s">
        <v>77</v>
      </c>
      <c r="N360" s="27" t="n">
        <v>604</v>
      </c>
    </row>
    <row r="361" customFormat="false" ht="15" hidden="false" customHeight="true" outlineLevel="0" collapsed="false">
      <c r="A361" s="19" t="s">
        <v>803</v>
      </c>
      <c r="B361" s="19" t="s">
        <v>804</v>
      </c>
      <c r="C361" s="20" t="s">
        <v>80</v>
      </c>
      <c r="D361" s="21" t="n">
        <v>3221000</v>
      </c>
      <c r="E361" s="21" t="n">
        <v>0.02</v>
      </c>
      <c r="F361" s="22" t="n">
        <v>0.2185</v>
      </c>
      <c r="G361" s="20" t="n">
        <v>60</v>
      </c>
      <c r="H361" s="21" t="n">
        <v>88686.03</v>
      </c>
      <c r="I361" s="23" t="n">
        <v>44324</v>
      </c>
      <c r="J361" s="23" t="n">
        <v>46124</v>
      </c>
      <c r="K361" s="20" t="s">
        <v>81</v>
      </c>
      <c r="L361" s="24" t="n">
        <v>0</v>
      </c>
      <c r="M361" s="25" t="s">
        <v>77</v>
      </c>
      <c r="N361" s="20" t="n">
        <v>850</v>
      </c>
    </row>
    <row r="362" customFormat="false" ht="15" hidden="false" customHeight="true" outlineLevel="0" collapsed="false">
      <c r="A362" s="26" t="s">
        <v>805</v>
      </c>
      <c r="B362" s="26" t="s">
        <v>806</v>
      </c>
      <c r="C362" s="27" t="s">
        <v>84</v>
      </c>
      <c r="D362" s="28" t="n">
        <v>4022000</v>
      </c>
      <c r="E362" s="28" t="n">
        <v>164457.1</v>
      </c>
      <c r="F362" s="29" t="n">
        <v>0.178</v>
      </c>
      <c r="G362" s="27" t="n">
        <v>84</v>
      </c>
      <c r="H362" s="28" t="n">
        <v>84062.92</v>
      </c>
      <c r="I362" s="30" t="n">
        <v>43674</v>
      </c>
      <c r="J362" s="30" t="n">
        <v>46194</v>
      </c>
      <c r="K362" s="27" t="s">
        <v>94</v>
      </c>
      <c r="L362" s="31" t="n">
        <v>0</v>
      </c>
      <c r="M362" s="25" t="s">
        <v>77</v>
      </c>
      <c r="N362" s="27" t="n">
        <v>763</v>
      </c>
    </row>
    <row r="363" customFormat="false" ht="15" hidden="false" customHeight="true" outlineLevel="0" collapsed="false">
      <c r="A363" s="19" t="s">
        <v>807</v>
      </c>
      <c r="B363" s="19" t="s">
        <v>808</v>
      </c>
      <c r="C363" s="20" t="s">
        <v>91</v>
      </c>
      <c r="D363" s="21" t="n">
        <v>225000</v>
      </c>
      <c r="E363" s="21" t="n">
        <v>0</v>
      </c>
      <c r="F363" s="22" t="n">
        <v>0.1948</v>
      </c>
      <c r="G363" s="20" t="n">
        <v>48</v>
      </c>
      <c r="H363" s="21" t="n">
        <v>6784.65</v>
      </c>
      <c r="I363" s="23" t="n">
        <v>44506</v>
      </c>
      <c r="J363" s="23" t="n">
        <v>45946</v>
      </c>
      <c r="K363" s="20" t="s">
        <v>94</v>
      </c>
      <c r="L363" s="24" t="n">
        <v>0</v>
      </c>
      <c r="M363" s="25" t="s">
        <v>77</v>
      </c>
      <c r="N363" s="20" t="n">
        <v>600</v>
      </c>
    </row>
    <row r="364" customFormat="false" ht="15" hidden="false" customHeight="true" outlineLevel="0" collapsed="false">
      <c r="A364" s="26" t="s">
        <v>809</v>
      </c>
      <c r="B364" s="26" t="s">
        <v>810</v>
      </c>
      <c r="C364" s="27" t="s">
        <v>84</v>
      </c>
      <c r="D364" s="28" t="n">
        <v>4537000</v>
      </c>
      <c r="E364" s="28" t="n">
        <v>4363111.93</v>
      </c>
      <c r="F364" s="29" t="n">
        <v>0.1891</v>
      </c>
      <c r="G364" s="27" t="n">
        <v>240</v>
      </c>
      <c r="H364" s="28" t="n">
        <v>73213.05</v>
      </c>
      <c r="I364" s="30" t="n">
        <v>44330</v>
      </c>
      <c r="J364" s="30" t="n">
        <v>51530</v>
      </c>
      <c r="K364" s="27" t="s">
        <v>81</v>
      </c>
      <c r="L364" s="31" t="n">
        <v>0</v>
      </c>
      <c r="M364" s="25" t="s">
        <v>77</v>
      </c>
      <c r="N364" s="27" t="n">
        <v>708</v>
      </c>
    </row>
    <row r="365" customFormat="false" ht="15" hidden="false" customHeight="true" outlineLevel="0" collapsed="false">
      <c r="A365" s="19" t="s">
        <v>811</v>
      </c>
      <c r="B365" s="19" t="s">
        <v>812</v>
      </c>
      <c r="C365" s="20" t="s">
        <v>91</v>
      </c>
      <c r="D365" s="21" t="n">
        <v>3640000</v>
      </c>
      <c r="E365" s="21" t="n">
        <v>0.21</v>
      </c>
      <c r="F365" s="22" t="n">
        <v>0.1716</v>
      </c>
      <c r="G365" s="20" t="n">
        <v>36</v>
      </c>
      <c r="H365" s="21" t="n">
        <v>130065.96</v>
      </c>
      <c r="I365" s="23" t="n">
        <v>44475</v>
      </c>
      <c r="J365" s="23" t="n">
        <v>45555</v>
      </c>
      <c r="K365" s="20" t="s">
        <v>94</v>
      </c>
      <c r="L365" s="24" t="n">
        <v>0</v>
      </c>
      <c r="M365" s="25" t="s">
        <v>77</v>
      </c>
      <c r="N365" s="20" t="n">
        <v>540</v>
      </c>
    </row>
    <row r="366" customFormat="false" ht="15" hidden="false" customHeight="true" outlineLevel="0" collapsed="false">
      <c r="A366" s="26" t="s">
        <v>813</v>
      </c>
      <c r="B366" s="26" t="s">
        <v>814</v>
      </c>
      <c r="C366" s="27" t="s">
        <v>99</v>
      </c>
      <c r="D366" s="28" t="n">
        <v>2131000</v>
      </c>
      <c r="E366" s="28" t="n">
        <v>763101.13</v>
      </c>
      <c r="F366" s="29" t="n">
        <v>0.2225</v>
      </c>
      <c r="G366" s="27" t="n">
        <v>84</v>
      </c>
      <c r="H366" s="28" t="n">
        <v>50250.17</v>
      </c>
      <c r="I366" s="30" t="n">
        <v>44168</v>
      </c>
      <c r="J366" s="30" t="n">
        <v>46688</v>
      </c>
      <c r="K366" s="27" t="s">
        <v>76</v>
      </c>
      <c r="L366" s="31" t="n">
        <v>0</v>
      </c>
      <c r="M366" s="25" t="s">
        <v>77</v>
      </c>
      <c r="N366" s="27" t="n">
        <v>694</v>
      </c>
    </row>
    <row r="367" customFormat="false" ht="15" hidden="false" customHeight="true" outlineLevel="0" collapsed="false">
      <c r="A367" s="19" t="s">
        <v>815</v>
      </c>
      <c r="B367" s="19" t="s">
        <v>816</v>
      </c>
      <c r="C367" s="20" t="s">
        <v>80</v>
      </c>
      <c r="D367" s="21" t="n">
        <v>3122000</v>
      </c>
      <c r="E367" s="21" t="n">
        <v>1193178.5</v>
      </c>
      <c r="F367" s="22" t="n">
        <v>0.1582</v>
      </c>
      <c r="G367" s="20" t="n">
        <v>48</v>
      </c>
      <c r="H367" s="21" t="n">
        <v>88190.81</v>
      </c>
      <c r="I367" s="23" t="n">
        <v>45150</v>
      </c>
      <c r="J367" s="23" t="n">
        <v>46590</v>
      </c>
      <c r="K367" s="20" t="s">
        <v>81</v>
      </c>
      <c r="L367" s="24" t="n">
        <v>0</v>
      </c>
      <c r="M367" s="25" t="s">
        <v>77</v>
      </c>
      <c r="N367" s="20" t="n">
        <v>599</v>
      </c>
    </row>
    <row r="368" customFormat="false" ht="15" hidden="false" customHeight="true" outlineLevel="0" collapsed="false">
      <c r="A368" s="26" t="s">
        <v>817</v>
      </c>
      <c r="B368" s="26" t="s">
        <v>818</v>
      </c>
      <c r="C368" s="27" t="s">
        <v>91</v>
      </c>
      <c r="D368" s="28" t="n">
        <v>4361000</v>
      </c>
      <c r="E368" s="28" t="n">
        <v>0.05</v>
      </c>
      <c r="F368" s="29" t="n">
        <v>0.1084</v>
      </c>
      <c r="G368" s="27" t="n">
        <v>48</v>
      </c>
      <c r="H368" s="28" t="n">
        <v>112373.77</v>
      </c>
      <c r="I368" s="30" t="n">
        <v>44504</v>
      </c>
      <c r="J368" s="30" t="n">
        <v>45944</v>
      </c>
      <c r="K368" s="27" t="s">
        <v>81</v>
      </c>
      <c r="L368" s="31" t="n">
        <v>0</v>
      </c>
      <c r="M368" s="25" t="s">
        <v>77</v>
      </c>
      <c r="N368" s="27" t="n">
        <v>591</v>
      </c>
    </row>
    <row r="369" customFormat="false" ht="15" hidden="false" customHeight="true" outlineLevel="0" collapsed="false">
      <c r="A369" s="19" t="s">
        <v>819</v>
      </c>
      <c r="B369" s="19" t="s">
        <v>820</v>
      </c>
      <c r="C369" s="20" t="s">
        <v>80</v>
      </c>
      <c r="D369" s="21" t="n">
        <v>450000</v>
      </c>
      <c r="E369" s="21" t="n">
        <v>0</v>
      </c>
      <c r="F369" s="22" t="n">
        <v>0.1366</v>
      </c>
      <c r="G369" s="20" t="n">
        <v>36</v>
      </c>
      <c r="H369" s="21" t="n">
        <v>15305.73</v>
      </c>
      <c r="I369" s="23" t="n">
        <v>44384</v>
      </c>
      <c r="J369" s="23" t="n">
        <v>45464</v>
      </c>
      <c r="K369" s="20" t="s">
        <v>94</v>
      </c>
      <c r="L369" s="24" t="n">
        <v>0</v>
      </c>
      <c r="M369" s="25" t="s">
        <v>77</v>
      </c>
      <c r="N369" s="20" t="n">
        <v>702</v>
      </c>
    </row>
    <row r="370" customFormat="false" ht="15" hidden="false" customHeight="true" outlineLevel="0" collapsed="false">
      <c r="A370" s="26" t="s">
        <v>821</v>
      </c>
      <c r="B370" s="26" t="s">
        <v>822</v>
      </c>
      <c r="C370" s="27" t="s">
        <v>84</v>
      </c>
      <c r="D370" s="28" t="n">
        <v>885000</v>
      </c>
      <c r="E370" s="28" t="n">
        <v>725320.93</v>
      </c>
      <c r="F370" s="29" t="n">
        <v>0.2035</v>
      </c>
      <c r="G370" s="27" t="n">
        <v>180</v>
      </c>
      <c r="H370" s="28" t="n">
        <v>15772.55</v>
      </c>
      <c r="I370" s="30" t="n">
        <v>43461</v>
      </c>
      <c r="J370" s="30" t="n">
        <v>48861</v>
      </c>
      <c r="K370" s="27" t="s">
        <v>81</v>
      </c>
      <c r="L370" s="31" t="n">
        <v>0</v>
      </c>
      <c r="M370" s="25" t="s">
        <v>77</v>
      </c>
      <c r="N370" s="27" t="n">
        <v>631</v>
      </c>
    </row>
    <row r="371" customFormat="false" ht="15" hidden="false" customHeight="true" outlineLevel="0" collapsed="false">
      <c r="A371" s="19" t="s">
        <v>823</v>
      </c>
      <c r="B371" s="19" t="s">
        <v>824</v>
      </c>
      <c r="C371" s="20" t="s">
        <v>91</v>
      </c>
      <c r="D371" s="21" t="n">
        <v>2692000</v>
      </c>
      <c r="E371" s="21" t="n">
        <v>0</v>
      </c>
      <c r="F371" s="22" t="n">
        <v>0.1983</v>
      </c>
      <c r="G371" s="20" t="n">
        <v>12</v>
      </c>
      <c r="H371" s="21" t="n">
        <v>249153.12</v>
      </c>
      <c r="I371" s="23" t="n">
        <v>44420</v>
      </c>
      <c r="J371" s="23" t="n">
        <v>44780</v>
      </c>
      <c r="K371" s="20" t="s">
        <v>76</v>
      </c>
      <c r="L371" s="24" t="n">
        <v>0</v>
      </c>
      <c r="M371" s="25" t="s">
        <v>77</v>
      </c>
      <c r="N371" s="20" t="n">
        <v>662</v>
      </c>
    </row>
    <row r="372" customFormat="false" ht="15" hidden="false" customHeight="true" outlineLevel="0" collapsed="false">
      <c r="A372" s="26" t="s">
        <v>825</v>
      </c>
      <c r="B372" s="26" t="s">
        <v>826</v>
      </c>
      <c r="C372" s="27" t="s">
        <v>84</v>
      </c>
      <c r="D372" s="28" t="n">
        <v>1170000</v>
      </c>
      <c r="E372" s="28" t="n">
        <v>0</v>
      </c>
      <c r="F372" s="29" t="n">
        <v>0.2209</v>
      </c>
      <c r="G372" s="27" t="n">
        <v>60</v>
      </c>
      <c r="H372" s="28" t="n">
        <v>32374.03</v>
      </c>
      <c r="I372" s="30" t="n">
        <v>43629</v>
      </c>
      <c r="J372" s="30" t="n">
        <v>45429</v>
      </c>
      <c r="K372" s="27" t="s">
        <v>81</v>
      </c>
      <c r="L372" s="31" t="n">
        <v>0</v>
      </c>
      <c r="M372" s="25" t="s">
        <v>77</v>
      </c>
      <c r="N372" s="27" t="n">
        <v>671</v>
      </c>
    </row>
    <row r="373" customFormat="false" ht="15" hidden="false" customHeight="true" outlineLevel="0" collapsed="false">
      <c r="A373" s="19" t="s">
        <v>827</v>
      </c>
      <c r="B373" s="19" t="s">
        <v>828</v>
      </c>
      <c r="C373" s="20" t="s">
        <v>80</v>
      </c>
      <c r="D373" s="21" t="n">
        <v>2307000</v>
      </c>
      <c r="E373" s="21" t="n">
        <v>2206495.9</v>
      </c>
      <c r="F373" s="22" t="n">
        <v>0.1656</v>
      </c>
      <c r="G373" s="20" t="n">
        <v>240</v>
      </c>
      <c r="H373" s="21" t="n">
        <v>33069.36</v>
      </c>
      <c r="I373" s="23" t="n">
        <v>44484</v>
      </c>
      <c r="J373" s="23" t="n">
        <v>51684</v>
      </c>
      <c r="K373" s="20" t="s">
        <v>81</v>
      </c>
      <c r="L373" s="24" t="n">
        <v>0</v>
      </c>
      <c r="M373" s="32" t="s">
        <v>104</v>
      </c>
      <c r="N373" s="20" t="n">
        <v>850</v>
      </c>
    </row>
    <row r="374" customFormat="false" ht="15" hidden="false" customHeight="true" outlineLevel="0" collapsed="false">
      <c r="A374" s="26" t="s">
        <v>829</v>
      </c>
      <c r="B374" s="26" t="s">
        <v>830</v>
      </c>
      <c r="C374" s="27" t="s">
        <v>99</v>
      </c>
      <c r="D374" s="28" t="n">
        <v>2476000</v>
      </c>
      <c r="E374" s="28" t="n">
        <v>0.04</v>
      </c>
      <c r="F374" s="29" t="n">
        <v>0.2013</v>
      </c>
      <c r="G374" s="27" t="n">
        <v>36</v>
      </c>
      <c r="H374" s="28" t="n">
        <v>92181.12</v>
      </c>
      <c r="I374" s="30" t="n">
        <v>44753</v>
      </c>
      <c r="J374" s="30" t="n">
        <v>45833</v>
      </c>
      <c r="K374" s="27" t="s">
        <v>81</v>
      </c>
      <c r="L374" s="31" t="n">
        <v>0</v>
      </c>
      <c r="M374" s="25" t="s">
        <v>77</v>
      </c>
      <c r="N374" s="27" t="n">
        <v>725</v>
      </c>
    </row>
    <row r="375" customFormat="false" ht="15" hidden="false" customHeight="true" outlineLevel="0" collapsed="false">
      <c r="A375" s="19" t="s">
        <v>831</v>
      </c>
      <c r="B375" s="19" t="s">
        <v>832</v>
      </c>
      <c r="C375" s="20" t="s">
        <v>80</v>
      </c>
      <c r="D375" s="21" t="n">
        <v>660000</v>
      </c>
      <c r="E375" s="21" t="n">
        <v>0</v>
      </c>
      <c r="F375" s="22" t="n">
        <v>0.1952</v>
      </c>
      <c r="G375" s="20" t="n">
        <v>12</v>
      </c>
      <c r="H375" s="21" t="n">
        <v>60987.26</v>
      </c>
      <c r="I375" s="23" t="n">
        <v>44637</v>
      </c>
      <c r="J375" s="23" t="n">
        <v>44997</v>
      </c>
      <c r="K375" s="20" t="s">
        <v>94</v>
      </c>
      <c r="L375" s="24" t="n">
        <v>0</v>
      </c>
      <c r="M375" s="25" t="s">
        <v>77</v>
      </c>
      <c r="N375" s="20" t="n">
        <v>763</v>
      </c>
    </row>
    <row r="376" customFormat="false" ht="15" hidden="false" customHeight="true" outlineLevel="0" collapsed="false">
      <c r="A376" s="26" t="s">
        <v>833</v>
      </c>
      <c r="B376" s="26" t="s">
        <v>834</v>
      </c>
      <c r="C376" s="27" t="s">
        <v>75</v>
      </c>
      <c r="D376" s="28" t="n">
        <v>287000</v>
      </c>
      <c r="E376" s="28" t="n">
        <v>0.03</v>
      </c>
      <c r="F376" s="29" t="n">
        <v>0.1018</v>
      </c>
      <c r="G376" s="27" t="n">
        <v>12</v>
      </c>
      <c r="H376" s="28" t="n">
        <v>25255.89</v>
      </c>
      <c r="I376" s="30" t="n">
        <v>43298</v>
      </c>
      <c r="J376" s="30" t="n">
        <v>43658</v>
      </c>
      <c r="K376" s="27" t="s">
        <v>94</v>
      </c>
      <c r="L376" s="31" t="n">
        <v>0</v>
      </c>
      <c r="M376" s="25" t="s">
        <v>77</v>
      </c>
      <c r="N376" s="27" t="n">
        <v>683</v>
      </c>
    </row>
    <row r="377" customFormat="false" ht="15" hidden="false" customHeight="true" outlineLevel="0" collapsed="false">
      <c r="A377" s="19" t="s">
        <v>835</v>
      </c>
      <c r="B377" s="19" t="s">
        <v>836</v>
      </c>
      <c r="C377" s="20" t="s">
        <v>91</v>
      </c>
      <c r="D377" s="21" t="n">
        <v>3491000</v>
      </c>
      <c r="E377" s="21" t="n">
        <v>1257688.99</v>
      </c>
      <c r="F377" s="22" t="n">
        <v>0.1827</v>
      </c>
      <c r="G377" s="20" t="n">
        <v>60</v>
      </c>
      <c r="H377" s="21" t="n">
        <v>89162.01</v>
      </c>
      <c r="I377" s="23" t="n">
        <v>44824</v>
      </c>
      <c r="J377" s="23" t="n">
        <v>46624</v>
      </c>
      <c r="K377" s="20" t="s">
        <v>94</v>
      </c>
      <c r="L377" s="24" t="n">
        <v>0</v>
      </c>
      <c r="M377" s="25" t="s">
        <v>77</v>
      </c>
      <c r="N377" s="20" t="n">
        <v>624</v>
      </c>
    </row>
    <row r="378" customFormat="false" ht="15" hidden="false" customHeight="true" outlineLevel="0" collapsed="false">
      <c r="A378" s="26" t="s">
        <v>837</v>
      </c>
      <c r="B378" s="26" t="s">
        <v>838</v>
      </c>
      <c r="C378" s="27" t="s">
        <v>75</v>
      </c>
      <c r="D378" s="28" t="n">
        <v>729000</v>
      </c>
      <c r="E378" s="28" t="n">
        <v>0</v>
      </c>
      <c r="F378" s="29" t="n">
        <v>0.2138</v>
      </c>
      <c r="G378" s="27" t="n">
        <v>24</v>
      </c>
      <c r="H378" s="28" t="n">
        <v>37596.35</v>
      </c>
      <c r="I378" s="30" t="n">
        <v>45196</v>
      </c>
      <c r="J378" s="30" t="n">
        <v>45916</v>
      </c>
      <c r="K378" s="27" t="s">
        <v>94</v>
      </c>
      <c r="L378" s="31" t="n">
        <v>0</v>
      </c>
      <c r="M378" s="25" t="s">
        <v>77</v>
      </c>
      <c r="N378" s="27" t="n">
        <v>677</v>
      </c>
    </row>
    <row r="379" customFormat="false" ht="15" hidden="false" customHeight="true" outlineLevel="0" collapsed="false">
      <c r="A379" s="19" t="s">
        <v>839</v>
      </c>
      <c r="B379" s="19" t="s">
        <v>840</v>
      </c>
      <c r="C379" s="20" t="s">
        <v>91</v>
      </c>
      <c r="D379" s="21" t="n">
        <v>4166000</v>
      </c>
      <c r="E379" s="21" t="n">
        <v>2704786.08</v>
      </c>
      <c r="F379" s="22" t="n">
        <v>0.2358</v>
      </c>
      <c r="G379" s="20" t="n">
        <v>84</v>
      </c>
      <c r="H379" s="21" t="n">
        <v>101695.83</v>
      </c>
      <c r="I379" s="23" t="n">
        <v>44779</v>
      </c>
      <c r="J379" s="23" t="n">
        <v>47299</v>
      </c>
      <c r="K379" s="20" t="s">
        <v>81</v>
      </c>
      <c r="L379" s="24" t="n">
        <v>0</v>
      </c>
      <c r="M379" s="25" t="s">
        <v>77</v>
      </c>
      <c r="N379" s="20" t="n">
        <v>562</v>
      </c>
    </row>
    <row r="380" customFormat="false" ht="15" hidden="false" customHeight="true" outlineLevel="0" collapsed="false">
      <c r="A380" s="26" t="s">
        <v>841</v>
      </c>
      <c r="B380" s="26" t="s">
        <v>842</v>
      </c>
      <c r="C380" s="27" t="s">
        <v>75</v>
      </c>
      <c r="D380" s="28" t="n">
        <v>2429000</v>
      </c>
      <c r="E380" s="28" t="n">
        <v>0</v>
      </c>
      <c r="F380" s="29" t="n">
        <v>0.1213</v>
      </c>
      <c r="G380" s="27" t="n">
        <v>12</v>
      </c>
      <c r="H380" s="28" t="n">
        <v>215961.46</v>
      </c>
      <c r="I380" s="30" t="n">
        <v>43465</v>
      </c>
      <c r="J380" s="30" t="n">
        <v>43825</v>
      </c>
      <c r="K380" s="27" t="s">
        <v>81</v>
      </c>
      <c r="L380" s="31" t="n">
        <v>0</v>
      </c>
      <c r="M380" s="25" t="s">
        <v>77</v>
      </c>
      <c r="N380" s="27" t="n">
        <v>582</v>
      </c>
    </row>
    <row r="381" customFormat="false" ht="15" hidden="false" customHeight="true" outlineLevel="0" collapsed="false">
      <c r="A381" s="19" t="s">
        <v>843</v>
      </c>
      <c r="B381" s="19" t="s">
        <v>844</v>
      </c>
      <c r="C381" s="20" t="s">
        <v>99</v>
      </c>
      <c r="D381" s="21" t="n">
        <v>3632000</v>
      </c>
      <c r="E381" s="21" t="n">
        <v>947965.62</v>
      </c>
      <c r="F381" s="22" t="n">
        <v>0.2252</v>
      </c>
      <c r="G381" s="20" t="n">
        <v>48</v>
      </c>
      <c r="H381" s="21" t="n">
        <v>115457.87</v>
      </c>
      <c r="I381" s="23" t="n">
        <v>44971</v>
      </c>
      <c r="J381" s="23" t="n">
        <v>46411</v>
      </c>
      <c r="K381" s="20" t="s">
        <v>81</v>
      </c>
      <c r="L381" s="24" t="n">
        <v>0</v>
      </c>
      <c r="M381" s="25" t="s">
        <v>77</v>
      </c>
      <c r="N381" s="20" t="n">
        <v>675</v>
      </c>
    </row>
    <row r="382" customFormat="false" ht="15" hidden="false" customHeight="true" outlineLevel="0" collapsed="false">
      <c r="A382" s="26" t="s">
        <v>845</v>
      </c>
      <c r="B382" s="26" t="s">
        <v>846</v>
      </c>
      <c r="C382" s="27" t="s">
        <v>99</v>
      </c>
      <c r="D382" s="28" t="n">
        <v>4269000</v>
      </c>
      <c r="E382" s="28" t="n">
        <v>2598035.46</v>
      </c>
      <c r="F382" s="29" t="n">
        <v>0.1408</v>
      </c>
      <c r="G382" s="27" t="n">
        <v>84</v>
      </c>
      <c r="H382" s="28" t="n">
        <v>80189.89</v>
      </c>
      <c r="I382" s="30" t="n">
        <v>44845</v>
      </c>
      <c r="J382" s="30" t="n">
        <v>47365</v>
      </c>
      <c r="K382" s="27" t="s">
        <v>94</v>
      </c>
      <c r="L382" s="31" t="n">
        <v>0</v>
      </c>
      <c r="M382" s="25" t="s">
        <v>77</v>
      </c>
      <c r="N382" s="27" t="n">
        <v>638</v>
      </c>
    </row>
    <row r="383" customFormat="false" ht="15" hidden="false" customHeight="true" outlineLevel="0" collapsed="false">
      <c r="A383" s="19" t="s">
        <v>847</v>
      </c>
      <c r="B383" s="19" t="s">
        <v>848</v>
      </c>
      <c r="C383" s="20" t="s">
        <v>80</v>
      </c>
      <c r="D383" s="21" t="n">
        <v>1677000</v>
      </c>
      <c r="E383" s="21" t="n">
        <v>0.48</v>
      </c>
      <c r="F383" s="22" t="n">
        <v>0.2237</v>
      </c>
      <c r="G383" s="20" t="n">
        <v>60</v>
      </c>
      <c r="H383" s="21" t="n">
        <v>46670.39</v>
      </c>
      <c r="I383" s="23" t="n">
        <v>43481</v>
      </c>
      <c r="J383" s="23" t="n">
        <v>45281</v>
      </c>
      <c r="K383" s="20" t="s">
        <v>81</v>
      </c>
      <c r="L383" s="24" t="n">
        <v>0</v>
      </c>
      <c r="M383" s="25" t="s">
        <v>77</v>
      </c>
      <c r="N383" s="20" t="n">
        <v>744</v>
      </c>
    </row>
    <row r="384" customFormat="false" ht="15" hidden="false" customHeight="true" outlineLevel="0" collapsed="false">
      <c r="A384" s="26" t="s">
        <v>849</v>
      </c>
      <c r="B384" s="26" t="s">
        <v>850</v>
      </c>
      <c r="C384" s="27" t="s">
        <v>91</v>
      </c>
      <c r="D384" s="28" t="n">
        <v>2310000</v>
      </c>
      <c r="E384" s="28" t="n">
        <v>2192792.89</v>
      </c>
      <c r="F384" s="29" t="n">
        <v>0.2145</v>
      </c>
      <c r="G384" s="27" t="n">
        <v>180</v>
      </c>
      <c r="H384" s="28" t="n">
        <v>43065.99</v>
      </c>
      <c r="I384" s="30" t="n">
        <v>44828</v>
      </c>
      <c r="J384" s="30" t="n">
        <v>50228</v>
      </c>
      <c r="K384" s="27" t="s">
        <v>94</v>
      </c>
      <c r="L384" s="31" t="n">
        <v>0</v>
      </c>
      <c r="M384" s="25" t="s">
        <v>77</v>
      </c>
      <c r="N384" s="27" t="n">
        <v>758</v>
      </c>
    </row>
    <row r="385" customFormat="false" ht="15" hidden="false" customHeight="true" outlineLevel="0" collapsed="false">
      <c r="A385" s="19" t="s">
        <v>851</v>
      </c>
      <c r="B385" s="19" t="s">
        <v>852</v>
      </c>
      <c r="C385" s="20" t="s">
        <v>75</v>
      </c>
      <c r="D385" s="21" t="n">
        <v>839000</v>
      </c>
      <c r="E385" s="21" t="n">
        <v>803968.93</v>
      </c>
      <c r="F385" s="22" t="n">
        <v>0.1495</v>
      </c>
      <c r="G385" s="20" t="n">
        <v>180</v>
      </c>
      <c r="H385" s="21" t="n">
        <v>11713.82</v>
      </c>
      <c r="I385" s="23" t="n">
        <v>45431</v>
      </c>
      <c r="J385" s="23" t="n">
        <v>50831</v>
      </c>
      <c r="K385" s="20" t="s">
        <v>94</v>
      </c>
      <c r="L385" s="24" t="n">
        <v>0</v>
      </c>
      <c r="M385" s="25" t="s">
        <v>77</v>
      </c>
      <c r="N385" s="20" t="n">
        <v>848</v>
      </c>
    </row>
    <row r="386" customFormat="false" ht="15" hidden="false" customHeight="true" outlineLevel="0" collapsed="false">
      <c r="A386" s="26" t="s">
        <v>853</v>
      </c>
      <c r="B386" s="26" t="s">
        <v>854</v>
      </c>
      <c r="C386" s="27" t="s">
        <v>75</v>
      </c>
      <c r="D386" s="28" t="n">
        <v>4320000</v>
      </c>
      <c r="E386" s="28" t="n">
        <v>0.18</v>
      </c>
      <c r="F386" s="29" t="n">
        <v>0.2214</v>
      </c>
      <c r="G386" s="27" t="n">
        <v>36</v>
      </c>
      <c r="H386" s="28" t="n">
        <v>165295.8</v>
      </c>
      <c r="I386" s="30" t="n">
        <v>45079</v>
      </c>
      <c r="J386" s="30" t="n">
        <v>46159</v>
      </c>
      <c r="K386" s="27" t="s">
        <v>81</v>
      </c>
      <c r="L386" s="31" t="n">
        <v>0</v>
      </c>
      <c r="M386" s="25" t="s">
        <v>77</v>
      </c>
      <c r="N386" s="27" t="n">
        <v>738</v>
      </c>
    </row>
    <row r="387" customFormat="false" ht="15" hidden="false" customHeight="true" outlineLevel="0" collapsed="false">
      <c r="A387" s="19" t="s">
        <v>855</v>
      </c>
      <c r="B387" s="19" t="s">
        <v>856</v>
      </c>
      <c r="C387" s="20" t="s">
        <v>80</v>
      </c>
      <c r="D387" s="21" t="n">
        <v>4348000</v>
      </c>
      <c r="E387" s="21" t="n">
        <v>0</v>
      </c>
      <c r="F387" s="22" t="n">
        <v>0.1663</v>
      </c>
      <c r="G387" s="20" t="n">
        <v>48</v>
      </c>
      <c r="H387" s="21" t="n">
        <v>124630.96</v>
      </c>
      <c r="I387" s="23" t="n">
        <v>44486</v>
      </c>
      <c r="J387" s="23" t="n">
        <v>45926</v>
      </c>
      <c r="K387" s="20" t="s">
        <v>76</v>
      </c>
      <c r="L387" s="24" t="n">
        <v>0</v>
      </c>
      <c r="M387" s="25" t="s">
        <v>77</v>
      </c>
      <c r="N387" s="20" t="n">
        <v>662</v>
      </c>
    </row>
    <row r="388" customFormat="false" ht="15" hidden="false" customHeight="true" outlineLevel="0" collapsed="false">
      <c r="A388" s="26" t="s">
        <v>857</v>
      </c>
      <c r="B388" s="26" t="s">
        <v>858</v>
      </c>
      <c r="C388" s="27" t="s">
        <v>91</v>
      </c>
      <c r="D388" s="28" t="n">
        <v>3647000</v>
      </c>
      <c r="E388" s="28" t="n">
        <v>1847263.73</v>
      </c>
      <c r="F388" s="29" t="n">
        <v>0.1597</v>
      </c>
      <c r="G388" s="27" t="n">
        <v>120</v>
      </c>
      <c r="H388" s="28" t="n">
        <v>61023.87</v>
      </c>
      <c r="I388" s="30" t="n">
        <v>43709</v>
      </c>
      <c r="J388" s="30" t="n">
        <v>47309</v>
      </c>
      <c r="K388" s="27" t="s">
        <v>76</v>
      </c>
      <c r="L388" s="31" t="n">
        <v>0</v>
      </c>
      <c r="M388" s="25" t="s">
        <v>77</v>
      </c>
      <c r="N388" s="27" t="n">
        <v>659</v>
      </c>
    </row>
    <row r="389" customFormat="false" ht="15" hidden="false" customHeight="true" outlineLevel="0" collapsed="false">
      <c r="A389" s="19" t="s">
        <v>859</v>
      </c>
      <c r="B389" s="19" t="s">
        <v>860</v>
      </c>
      <c r="C389" s="20" t="s">
        <v>75</v>
      </c>
      <c r="D389" s="21" t="n">
        <v>4267000</v>
      </c>
      <c r="E389" s="21" t="n">
        <v>0.14</v>
      </c>
      <c r="F389" s="22" t="n">
        <v>0.2198</v>
      </c>
      <c r="G389" s="20" t="n">
        <v>24</v>
      </c>
      <c r="H389" s="21" t="n">
        <v>221321.94</v>
      </c>
      <c r="I389" s="23" t="n">
        <v>45114</v>
      </c>
      <c r="J389" s="23" t="n">
        <v>45834</v>
      </c>
      <c r="K389" s="20" t="s">
        <v>81</v>
      </c>
      <c r="L389" s="24" t="n">
        <v>0</v>
      </c>
      <c r="M389" s="35" t="s">
        <v>269</v>
      </c>
      <c r="N389" s="20" t="n">
        <v>755</v>
      </c>
    </row>
    <row r="390" customFormat="false" ht="15" hidden="false" customHeight="true" outlineLevel="0" collapsed="false">
      <c r="A390" s="26" t="s">
        <v>861</v>
      </c>
      <c r="B390" s="26" t="s">
        <v>862</v>
      </c>
      <c r="C390" s="27" t="s">
        <v>91</v>
      </c>
      <c r="D390" s="28" t="n">
        <v>2775000</v>
      </c>
      <c r="E390" s="28" t="n">
        <v>0</v>
      </c>
      <c r="F390" s="29" t="n">
        <v>0.1437</v>
      </c>
      <c r="G390" s="27" t="n">
        <v>48</v>
      </c>
      <c r="H390" s="28" t="n">
        <v>76347.03</v>
      </c>
      <c r="I390" s="30" t="n">
        <v>43423</v>
      </c>
      <c r="J390" s="30" t="n">
        <v>44863</v>
      </c>
      <c r="K390" s="27" t="s">
        <v>81</v>
      </c>
      <c r="L390" s="31" t="n">
        <v>0</v>
      </c>
      <c r="M390" s="25" t="s">
        <v>77</v>
      </c>
      <c r="N390" s="27" t="n">
        <v>799</v>
      </c>
    </row>
    <row r="391" customFormat="false" ht="15" hidden="false" customHeight="true" outlineLevel="0" collapsed="false">
      <c r="A391" s="19" t="s">
        <v>863</v>
      </c>
      <c r="B391" s="19" t="s">
        <v>864</v>
      </c>
      <c r="C391" s="20" t="s">
        <v>99</v>
      </c>
      <c r="D391" s="21" t="n">
        <v>2512000</v>
      </c>
      <c r="E391" s="21" t="n">
        <v>0</v>
      </c>
      <c r="F391" s="22" t="n">
        <v>0.1863</v>
      </c>
      <c r="G391" s="20" t="n">
        <v>24</v>
      </c>
      <c r="H391" s="21" t="n">
        <v>126175.34</v>
      </c>
      <c r="I391" s="23" t="n">
        <v>44753</v>
      </c>
      <c r="J391" s="23" t="n">
        <v>45473</v>
      </c>
      <c r="K391" s="20" t="s">
        <v>81</v>
      </c>
      <c r="L391" s="37" t="n">
        <v>1</v>
      </c>
      <c r="M391" s="34" t="s">
        <v>194</v>
      </c>
      <c r="N391" s="20" t="n">
        <v>631</v>
      </c>
    </row>
    <row r="392" customFormat="false" ht="15" hidden="false" customHeight="true" outlineLevel="0" collapsed="false">
      <c r="A392" s="26" t="s">
        <v>865</v>
      </c>
      <c r="B392" s="26" t="s">
        <v>866</v>
      </c>
      <c r="C392" s="27" t="s">
        <v>84</v>
      </c>
      <c r="D392" s="28" t="n">
        <v>3969000</v>
      </c>
      <c r="E392" s="28" t="n">
        <v>2416879.76</v>
      </c>
      <c r="F392" s="29" t="n">
        <v>0.2343</v>
      </c>
      <c r="G392" s="27" t="n">
        <v>60</v>
      </c>
      <c r="H392" s="28" t="n">
        <v>112870.7</v>
      </c>
      <c r="I392" s="30" t="n">
        <v>45183</v>
      </c>
      <c r="J392" s="30" t="n">
        <v>46983</v>
      </c>
      <c r="K392" s="27" t="s">
        <v>76</v>
      </c>
      <c r="L392" s="31" t="n">
        <v>0</v>
      </c>
      <c r="M392" s="25" t="s">
        <v>77</v>
      </c>
      <c r="N392" s="27" t="n">
        <v>683</v>
      </c>
    </row>
    <row r="393" customFormat="false" ht="15" hidden="false" customHeight="true" outlineLevel="0" collapsed="false">
      <c r="A393" s="19" t="s">
        <v>867</v>
      </c>
      <c r="B393" s="19" t="s">
        <v>868</v>
      </c>
      <c r="C393" s="20" t="s">
        <v>91</v>
      </c>
      <c r="D393" s="21" t="n">
        <v>2300000</v>
      </c>
      <c r="E393" s="21" t="n">
        <v>2088852.58</v>
      </c>
      <c r="F393" s="22" t="n">
        <v>0.1718</v>
      </c>
      <c r="G393" s="20" t="n">
        <v>180</v>
      </c>
      <c r="H393" s="21" t="n">
        <v>35690.93</v>
      </c>
      <c r="I393" s="23" t="n">
        <v>44589</v>
      </c>
      <c r="J393" s="23" t="n">
        <v>49989</v>
      </c>
      <c r="K393" s="20" t="s">
        <v>94</v>
      </c>
      <c r="L393" s="24" t="n">
        <v>0</v>
      </c>
      <c r="M393" s="25" t="s">
        <v>77</v>
      </c>
      <c r="N393" s="20" t="n">
        <v>723</v>
      </c>
    </row>
    <row r="394" customFormat="false" ht="15" hidden="false" customHeight="true" outlineLevel="0" collapsed="false">
      <c r="A394" s="26" t="s">
        <v>869</v>
      </c>
      <c r="B394" s="26" t="s">
        <v>870</v>
      </c>
      <c r="C394" s="27" t="s">
        <v>80</v>
      </c>
      <c r="D394" s="28" t="n">
        <v>1740000</v>
      </c>
      <c r="E394" s="28" t="n">
        <v>1175924.15</v>
      </c>
      <c r="F394" s="29" t="n">
        <v>0.2136</v>
      </c>
      <c r="G394" s="27" t="n">
        <v>60</v>
      </c>
      <c r="H394" s="28" t="n">
        <v>47425.9</v>
      </c>
      <c r="I394" s="30" t="n">
        <v>45344</v>
      </c>
      <c r="J394" s="30" t="n">
        <v>47144</v>
      </c>
      <c r="K394" s="27" t="s">
        <v>76</v>
      </c>
      <c r="L394" s="31" t="n">
        <v>0</v>
      </c>
      <c r="M394" s="25" t="s">
        <v>77</v>
      </c>
      <c r="N394" s="27" t="n">
        <v>689</v>
      </c>
    </row>
    <row r="395" customFormat="false" ht="15" hidden="false" customHeight="true" outlineLevel="0" collapsed="false">
      <c r="A395" s="19" t="s">
        <v>871</v>
      </c>
      <c r="B395" s="19" t="s">
        <v>872</v>
      </c>
      <c r="C395" s="20" t="s">
        <v>91</v>
      </c>
      <c r="D395" s="21" t="n">
        <v>2076000</v>
      </c>
      <c r="E395" s="21" t="n">
        <v>0</v>
      </c>
      <c r="F395" s="22" t="n">
        <v>0.1244</v>
      </c>
      <c r="G395" s="20" t="n">
        <v>48</v>
      </c>
      <c r="H395" s="21" t="n">
        <v>55118.61</v>
      </c>
      <c r="I395" s="23" t="n">
        <v>43869</v>
      </c>
      <c r="J395" s="23" t="n">
        <v>45309</v>
      </c>
      <c r="K395" s="20" t="s">
        <v>81</v>
      </c>
      <c r="L395" s="24" t="n">
        <v>0</v>
      </c>
      <c r="M395" s="25" t="s">
        <v>77</v>
      </c>
      <c r="N395" s="20" t="n">
        <v>727</v>
      </c>
    </row>
    <row r="396" customFormat="false" ht="15" hidden="false" customHeight="true" outlineLevel="0" collapsed="false">
      <c r="A396" s="26" t="s">
        <v>873</v>
      </c>
      <c r="B396" s="26" t="s">
        <v>874</v>
      </c>
      <c r="C396" s="27" t="s">
        <v>84</v>
      </c>
      <c r="D396" s="28" t="n">
        <v>993000</v>
      </c>
      <c r="E396" s="28" t="n">
        <v>330193.53</v>
      </c>
      <c r="F396" s="29" t="n">
        <v>0.1374</v>
      </c>
      <c r="G396" s="27" t="n">
        <v>120</v>
      </c>
      <c r="H396" s="28" t="n">
        <v>15263.1</v>
      </c>
      <c r="I396" s="30" t="n">
        <v>43291</v>
      </c>
      <c r="J396" s="30" t="n">
        <v>46891</v>
      </c>
      <c r="K396" s="27" t="s">
        <v>94</v>
      </c>
      <c r="L396" s="31" t="n">
        <v>0</v>
      </c>
      <c r="M396" s="25" t="s">
        <v>77</v>
      </c>
      <c r="N396" s="27" t="n">
        <v>551</v>
      </c>
    </row>
    <row r="397" customFormat="false" ht="15" hidden="false" customHeight="true" outlineLevel="0" collapsed="false">
      <c r="A397" s="19" t="s">
        <v>875</v>
      </c>
      <c r="B397" s="19" t="s">
        <v>876</v>
      </c>
      <c r="C397" s="20" t="s">
        <v>91</v>
      </c>
      <c r="D397" s="21" t="n">
        <v>4821000</v>
      </c>
      <c r="E397" s="21" t="n">
        <v>0.03</v>
      </c>
      <c r="F397" s="22" t="n">
        <v>0.0857</v>
      </c>
      <c r="G397" s="20" t="n">
        <v>12</v>
      </c>
      <c r="H397" s="21" t="n">
        <v>420642.85</v>
      </c>
      <c r="I397" s="23" t="n">
        <v>45367</v>
      </c>
      <c r="J397" s="23" t="n">
        <v>45727</v>
      </c>
      <c r="K397" s="20" t="s">
        <v>81</v>
      </c>
      <c r="L397" s="24" t="n">
        <v>0</v>
      </c>
      <c r="M397" s="25" t="s">
        <v>77</v>
      </c>
      <c r="N397" s="20" t="n">
        <v>589</v>
      </c>
    </row>
    <row r="398" customFormat="false" ht="15" hidden="false" customHeight="true" outlineLevel="0" collapsed="false">
      <c r="A398" s="26" t="s">
        <v>877</v>
      </c>
      <c r="B398" s="26" t="s">
        <v>878</v>
      </c>
      <c r="C398" s="27" t="s">
        <v>84</v>
      </c>
      <c r="D398" s="28" t="n">
        <v>4555000</v>
      </c>
      <c r="E398" s="28" t="n">
        <v>0.19</v>
      </c>
      <c r="F398" s="29" t="n">
        <v>0.1922</v>
      </c>
      <c r="G398" s="27" t="n">
        <v>36</v>
      </c>
      <c r="H398" s="28" t="n">
        <v>167475.26</v>
      </c>
      <c r="I398" s="30" t="n">
        <v>43626</v>
      </c>
      <c r="J398" s="30" t="n">
        <v>44706</v>
      </c>
      <c r="K398" s="27" t="s">
        <v>81</v>
      </c>
      <c r="L398" s="31" t="n">
        <v>0</v>
      </c>
      <c r="M398" s="25" t="s">
        <v>77</v>
      </c>
      <c r="N398" s="27" t="n">
        <v>619</v>
      </c>
    </row>
    <row r="399" customFormat="false" ht="15" hidden="false" customHeight="true" outlineLevel="0" collapsed="false">
      <c r="A399" s="19" t="s">
        <v>879</v>
      </c>
      <c r="B399" s="19" t="s">
        <v>880</v>
      </c>
      <c r="C399" s="20" t="s">
        <v>91</v>
      </c>
      <c r="D399" s="21" t="n">
        <v>4584000</v>
      </c>
      <c r="E399" s="21" t="n">
        <v>1415979.69</v>
      </c>
      <c r="F399" s="22" t="n">
        <v>0.2032</v>
      </c>
      <c r="G399" s="20" t="n">
        <v>60</v>
      </c>
      <c r="H399" s="21" t="n">
        <v>122265.6</v>
      </c>
      <c r="I399" s="23" t="n">
        <v>44730</v>
      </c>
      <c r="J399" s="23" t="n">
        <v>46530</v>
      </c>
      <c r="K399" s="20" t="s">
        <v>81</v>
      </c>
      <c r="L399" s="24" t="n">
        <v>0</v>
      </c>
      <c r="M399" s="25" t="s">
        <v>77</v>
      </c>
      <c r="N399" s="20" t="n">
        <v>502</v>
      </c>
    </row>
    <row r="400" customFormat="false" ht="15" hidden="false" customHeight="true" outlineLevel="0" collapsed="false">
      <c r="A400" s="26" t="s">
        <v>881</v>
      </c>
      <c r="B400" s="26" t="s">
        <v>882</v>
      </c>
      <c r="C400" s="27" t="s">
        <v>80</v>
      </c>
      <c r="D400" s="28" t="n">
        <v>3032000</v>
      </c>
      <c r="E400" s="28" t="n">
        <v>2954731.36</v>
      </c>
      <c r="F400" s="29" t="n">
        <v>0.2224</v>
      </c>
      <c r="G400" s="27" t="n">
        <v>240</v>
      </c>
      <c r="H400" s="28" t="n">
        <v>56886.41</v>
      </c>
      <c r="I400" s="30" t="n">
        <v>44325</v>
      </c>
      <c r="J400" s="30" t="n">
        <v>51525</v>
      </c>
      <c r="K400" s="27" t="s">
        <v>94</v>
      </c>
      <c r="L400" s="31" t="n">
        <v>0</v>
      </c>
      <c r="M400" s="25" t="s">
        <v>77</v>
      </c>
      <c r="N400" s="27" t="n">
        <v>817</v>
      </c>
    </row>
    <row r="401" customFormat="false" ht="15" hidden="false" customHeight="true" outlineLevel="0" collapsed="false">
      <c r="A401" s="19" t="s">
        <v>883</v>
      </c>
      <c r="B401" s="19" t="s">
        <v>884</v>
      </c>
      <c r="C401" s="20" t="s">
        <v>99</v>
      </c>
      <c r="D401" s="21" t="n">
        <v>3140000</v>
      </c>
      <c r="E401" s="21" t="n">
        <v>56511.22</v>
      </c>
      <c r="F401" s="22" t="n">
        <v>0.13</v>
      </c>
      <c r="G401" s="20" t="n">
        <v>84</v>
      </c>
      <c r="H401" s="21" t="n">
        <v>57122.76</v>
      </c>
      <c r="I401" s="23" t="n">
        <v>43644</v>
      </c>
      <c r="J401" s="23" t="n">
        <v>46164</v>
      </c>
      <c r="K401" s="20" t="s">
        <v>94</v>
      </c>
      <c r="L401" s="24" t="n">
        <v>0</v>
      </c>
      <c r="M401" s="33" t="s">
        <v>111</v>
      </c>
      <c r="N401" s="20" t="n">
        <v>633</v>
      </c>
    </row>
    <row r="402" customFormat="false" ht="15" hidden="false" customHeight="true" outlineLevel="0" collapsed="false">
      <c r="A402" s="26" t="s">
        <v>885</v>
      </c>
      <c r="B402" s="26" t="s">
        <v>886</v>
      </c>
      <c r="C402" s="27" t="s">
        <v>91</v>
      </c>
      <c r="D402" s="28" t="n">
        <v>3203000</v>
      </c>
      <c r="E402" s="28" t="n">
        <v>2649882.59</v>
      </c>
      <c r="F402" s="29" t="n">
        <v>0.1951</v>
      </c>
      <c r="G402" s="27" t="n">
        <v>84</v>
      </c>
      <c r="H402" s="28" t="n">
        <v>70184.46</v>
      </c>
      <c r="I402" s="30" t="n">
        <v>45404</v>
      </c>
      <c r="J402" s="30" t="n">
        <v>47924</v>
      </c>
      <c r="K402" s="27" t="s">
        <v>81</v>
      </c>
      <c r="L402" s="31" t="n">
        <v>0</v>
      </c>
      <c r="M402" s="33" t="s">
        <v>111</v>
      </c>
      <c r="N402" s="27" t="n">
        <v>630</v>
      </c>
    </row>
    <row r="403" customFormat="false" ht="15" hidden="false" customHeight="true" outlineLevel="0" collapsed="false">
      <c r="A403" s="19" t="s">
        <v>887</v>
      </c>
      <c r="B403" s="19" t="s">
        <v>888</v>
      </c>
      <c r="C403" s="20" t="s">
        <v>91</v>
      </c>
      <c r="D403" s="21" t="n">
        <v>1465000</v>
      </c>
      <c r="E403" s="21" t="n">
        <v>0</v>
      </c>
      <c r="F403" s="22" t="n">
        <v>0.2163</v>
      </c>
      <c r="G403" s="20" t="n">
        <v>12</v>
      </c>
      <c r="H403" s="21" t="n">
        <v>136855.03</v>
      </c>
      <c r="I403" s="23" t="n">
        <v>45242</v>
      </c>
      <c r="J403" s="23" t="n">
        <v>45602</v>
      </c>
      <c r="K403" s="20" t="s">
        <v>81</v>
      </c>
      <c r="L403" s="37" t="n">
        <v>1</v>
      </c>
      <c r="M403" s="36" t="s">
        <v>286</v>
      </c>
      <c r="N403" s="20" t="n">
        <v>667</v>
      </c>
    </row>
    <row r="404" customFormat="false" ht="15" hidden="false" customHeight="true" outlineLevel="0" collapsed="false">
      <c r="A404" s="26" t="s">
        <v>889</v>
      </c>
      <c r="B404" s="26" t="s">
        <v>890</v>
      </c>
      <c r="C404" s="27" t="s">
        <v>75</v>
      </c>
      <c r="D404" s="28" t="n">
        <v>1040000</v>
      </c>
      <c r="E404" s="28" t="n">
        <v>0</v>
      </c>
      <c r="F404" s="29" t="n">
        <v>0.2013</v>
      </c>
      <c r="G404" s="27" t="n">
        <v>36</v>
      </c>
      <c r="H404" s="28" t="n">
        <v>38719.05</v>
      </c>
      <c r="I404" s="30" t="n">
        <v>44274</v>
      </c>
      <c r="J404" s="30" t="n">
        <v>45354</v>
      </c>
      <c r="K404" s="27" t="s">
        <v>94</v>
      </c>
      <c r="L404" s="31" t="n">
        <v>0</v>
      </c>
      <c r="M404" s="25" t="s">
        <v>77</v>
      </c>
      <c r="N404" s="27" t="n">
        <v>516</v>
      </c>
    </row>
    <row r="405" customFormat="false" ht="15" hidden="false" customHeight="true" outlineLevel="0" collapsed="false">
      <c r="A405" s="19" t="s">
        <v>891</v>
      </c>
      <c r="B405" s="19" t="s">
        <v>892</v>
      </c>
      <c r="C405" s="20" t="s">
        <v>84</v>
      </c>
      <c r="D405" s="21" t="n">
        <v>1825000</v>
      </c>
      <c r="E405" s="21" t="n">
        <v>1694545.2</v>
      </c>
      <c r="F405" s="22" t="n">
        <v>0.1552</v>
      </c>
      <c r="G405" s="20" t="n">
        <v>240</v>
      </c>
      <c r="H405" s="21" t="n">
        <v>24735.51</v>
      </c>
      <c r="I405" s="23" t="n">
        <v>44019</v>
      </c>
      <c r="J405" s="23" t="n">
        <v>51219</v>
      </c>
      <c r="K405" s="20" t="s">
        <v>94</v>
      </c>
      <c r="L405" s="24" t="n">
        <v>0</v>
      </c>
      <c r="M405" s="25" t="s">
        <v>77</v>
      </c>
      <c r="N405" s="20" t="n">
        <v>698</v>
      </c>
    </row>
    <row r="406" customFormat="false" ht="15" hidden="false" customHeight="true" outlineLevel="0" collapsed="false">
      <c r="A406" s="26" t="s">
        <v>893</v>
      </c>
      <c r="B406" s="26" t="s">
        <v>894</v>
      </c>
      <c r="C406" s="27" t="s">
        <v>84</v>
      </c>
      <c r="D406" s="28" t="n">
        <v>4004000</v>
      </c>
      <c r="E406" s="28" t="n">
        <v>0.06</v>
      </c>
      <c r="F406" s="29" t="n">
        <v>0.1296</v>
      </c>
      <c r="G406" s="27" t="n">
        <v>12</v>
      </c>
      <c r="H406" s="28" t="n">
        <v>357551.23</v>
      </c>
      <c r="I406" s="30" t="n">
        <v>44663</v>
      </c>
      <c r="J406" s="30" t="n">
        <v>45023</v>
      </c>
      <c r="K406" s="27" t="s">
        <v>81</v>
      </c>
      <c r="L406" s="31" t="n">
        <v>0</v>
      </c>
      <c r="M406" s="25" t="s">
        <v>77</v>
      </c>
      <c r="N406" s="27" t="n">
        <v>765</v>
      </c>
    </row>
    <row r="407" customFormat="false" ht="15" hidden="false" customHeight="true" outlineLevel="0" collapsed="false">
      <c r="A407" s="19" t="s">
        <v>895</v>
      </c>
      <c r="B407" s="19" t="s">
        <v>896</v>
      </c>
      <c r="C407" s="20" t="s">
        <v>91</v>
      </c>
      <c r="D407" s="21" t="n">
        <v>1294000</v>
      </c>
      <c r="E407" s="21" t="n">
        <v>1116592.2</v>
      </c>
      <c r="F407" s="22" t="n">
        <v>0.1812</v>
      </c>
      <c r="G407" s="20" t="n">
        <v>180</v>
      </c>
      <c r="H407" s="21" t="n">
        <v>20950.67</v>
      </c>
      <c r="I407" s="23" t="n">
        <v>44024</v>
      </c>
      <c r="J407" s="23" t="n">
        <v>49424</v>
      </c>
      <c r="K407" s="20" t="s">
        <v>94</v>
      </c>
      <c r="L407" s="24" t="n">
        <v>0</v>
      </c>
      <c r="M407" s="25" t="s">
        <v>77</v>
      </c>
      <c r="N407" s="20" t="n">
        <v>657</v>
      </c>
    </row>
    <row r="408" customFormat="false" ht="15" hidden="false" customHeight="true" outlineLevel="0" collapsed="false">
      <c r="A408" s="26" t="s">
        <v>897</v>
      </c>
      <c r="B408" s="26" t="s">
        <v>898</v>
      </c>
      <c r="C408" s="27" t="s">
        <v>75</v>
      </c>
      <c r="D408" s="28" t="n">
        <v>3705000</v>
      </c>
      <c r="E408" s="28" t="n">
        <v>0.18</v>
      </c>
      <c r="F408" s="29" t="n">
        <v>0.1155</v>
      </c>
      <c r="G408" s="27" t="n">
        <v>48</v>
      </c>
      <c r="H408" s="28" t="n">
        <v>96750.26</v>
      </c>
      <c r="I408" s="30" t="n">
        <v>44305</v>
      </c>
      <c r="J408" s="30" t="n">
        <v>45745</v>
      </c>
      <c r="K408" s="27" t="s">
        <v>81</v>
      </c>
      <c r="L408" s="31" t="n">
        <v>0</v>
      </c>
      <c r="M408" s="25" t="s">
        <v>77</v>
      </c>
      <c r="N408" s="27" t="n">
        <v>665</v>
      </c>
    </row>
    <row r="409" customFormat="false" ht="15" hidden="false" customHeight="true" outlineLevel="0" collapsed="false">
      <c r="A409" s="19" t="s">
        <v>899</v>
      </c>
      <c r="B409" s="19" t="s">
        <v>900</v>
      </c>
      <c r="C409" s="20" t="s">
        <v>99</v>
      </c>
      <c r="D409" s="21" t="n">
        <v>251000</v>
      </c>
      <c r="E409" s="21" t="n">
        <v>0.16</v>
      </c>
      <c r="F409" s="22" t="n">
        <v>0.1283</v>
      </c>
      <c r="G409" s="20" t="n">
        <v>60</v>
      </c>
      <c r="H409" s="21" t="n">
        <v>5689.2</v>
      </c>
      <c r="I409" s="23" t="n">
        <v>43633</v>
      </c>
      <c r="J409" s="23" t="n">
        <v>45433</v>
      </c>
      <c r="K409" s="20" t="s">
        <v>81</v>
      </c>
      <c r="L409" s="24" t="n">
        <v>0</v>
      </c>
      <c r="M409" s="25" t="s">
        <v>77</v>
      </c>
      <c r="N409" s="20" t="n">
        <v>666</v>
      </c>
    </row>
    <row r="410" customFormat="false" ht="15" hidden="false" customHeight="true" outlineLevel="0" collapsed="false">
      <c r="A410" s="26" t="s">
        <v>901</v>
      </c>
      <c r="B410" s="26" t="s">
        <v>902</v>
      </c>
      <c r="C410" s="27" t="s">
        <v>91</v>
      </c>
      <c r="D410" s="28" t="n">
        <v>4691000</v>
      </c>
      <c r="E410" s="28" t="n">
        <v>0.01</v>
      </c>
      <c r="F410" s="29" t="n">
        <v>0.0912</v>
      </c>
      <c r="G410" s="27" t="n">
        <v>84</v>
      </c>
      <c r="H410" s="28" t="n">
        <v>75759.86</v>
      </c>
      <c r="I410" s="30" t="n">
        <v>43309</v>
      </c>
      <c r="J410" s="30" t="n">
        <v>45829</v>
      </c>
      <c r="K410" s="27" t="s">
        <v>94</v>
      </c>
      <c r="L410" s="31" t="n">
        <v>0</v>
      </c>
      <c r="M410" s="25" t="s">
        <v>77</v>
      </c>
      <c r="N410" s="27" t="n">
        <v>629</v>
      </c>
    </row>
    <row r="411" customFormat="false" ht="15" hidden="false" customHeight="true" outlineLevel="0" collapsed="false">
      <c r="A411" s="19" t="s">
        <v>903</v>
      </c>
      <c r="B411" s="19" t="s">
        <v>904</v>
      </c>
      <c r="C411" s="20" t="s">
        <v>84</v>
      </c>
      <c r="D411" s="21" t="n">
        <v>3553000</v>
      </c>
      <c r="E411" s="21" t="n">
        <v>720844.39</v>
      </c>
      <c r="F411" s="22" t="n">
        <v>0.1664</v>
      </c>
      <c r="G411" s="20" t="n">
        <v>36</v>
      </c>
      <c r="H411" s="21" t="n">
        <v>126038.48</v>
      </c>
      <c r="I411" s="23" t="n">
        <v>45233</v>
      </c>
      <c r="J411" s="23" t="n">
        <v>46313</v>
      </c>
      <c r="K411" s="20" t="s">
        <v>81</v>
      </c>
      <c r="L411" s="24" t="n">
        <v>0</v>
      </c>
      <c r="M411" s="25" t="s">
        <v>77</v>
      </c>
      <c r="N411" s="20" t="n">
        <v>640</v>
      </c>
    </row>
    <row r="412" customFormat="false" ht="15" hidden="false" customHeight="true" outlineLevel="0" collapsed="false">
      <c r="A412" s="26" t="s">
        <v>905</v>
      </c>
      <c r="B412" s="26" t="s">
        <v>906</v>
      </c>
      <c r="C412" s="27" t="s">
        <v>91</v>
      </c>
      <c r="D412" s="28" t="n">
        <v>505000</v>
      </c>
      <c r="E412" s="28" t="n">
        <v>0</v>
      </c>
      <c r="F412" s="29" t="n">
        <v>0.1193</v>
      </c>
      <c r="G412" s="27" t="n">
        <v>48</v>
      </c>
      <c r="H412" s="28" t="n">
        <v>13281.24</v>
      </c>
      <c r="I412" s="30" t="n">
        <v>44460</v>
      </c>
      <c r="J412" s="30" t="n">
        <v>45900</v>
      </c>
      <c r="K412" s="27" t="s">
        <v>81</v>
      </c>
      <c r="L412" s="31" t="n">
        <v>0</v>
      </c>
      <c r="M412" s="25" t="s">
        <v>77</v>
      </c>
      <c r="N412" s="27" t="n">
        <v>660</v>
      </c>
    </row>
    <row r="413" customFormat="false" ht="15" hidden="false" customHeight="true" outlineLevel="0" collapsed="false">
      <c r="A413" s="19" t="s">
        <v>907</v>
      </c>
      <c r="B413" s="19" t="s">
        <v>908</v>
      </c>
      <c r="C413" s="20" t="s">
        <v>75</v>
      </c>
      <c r="D413" s="21" t="n">
        <v>3773000</v>
      </c>
      <c r="E413" s="21" t="n">
        <v>0</v>
      </c>
      <c r="F413" s="22" t="n">
        <v>0.1856</v>
      </c>
      <c r="G413" s="20" t="n">
        <v>24</v>
      </c>
      <c r="H413" s="21" t="n">
        <v>189386.12</v>
      </c>
      <c r="I413" s="23" t="n">
        <v>44518</v>
      </c>
      <c r="J413" s="23" t="n">
        <v>45238</v>
      </c>
      <c r="K413" s="20" t="s">
        <v>81</v>
      </c>
      <c r="L413" s="24" t="n">
        <v>0</v>
      </c>
      <c r="M413" s="25" t="s">
        <v>77</v>
      </c>
      <c r="N413" s="20" t="n">
        <v>568</v>
      </c>
    </row>
    <row r="414" customFormat="false" ht="15" hidden="false" customHeight="true" outlineLevel="0" collapsed="false">
      <c r="A414" s="26" t="s">
        <v>909</v>
      </c>
      <c r="B414" s="26" t="s">
        <v>910</v>
      </c>
      <c r="C414" s="27" t="s">
        <v>80</v>
      </c>
      <c r="D414" s="28" t="n">
        <v>247000</v>
      </c>
      <c r="E414" s="28" t="n">
        <v>128915.74</v>
      </c>
      <c r="F414" s="29" t="n">
        <v>0.2223</v>
      </c>
      <c r="G414" s="27" t="n">
        <v>120</v>
      </c>
      <c r="H414" s="28" t="n">
        <v>5144.15</v>
      </c>
      <c r="I414" s="30" t="n">
        <v>43565</v>
      </c>
      <c r="J414" s="30" t="n">
        <v>47165</v>
      </c>
      <c r="K414" s="27" t="s">
        <v>81</v>
      </c>
      <c r="L414" s="31" t="n">
        <v>0</v>
      </c>
      <c r="M414" s="25" t="s">
        <v>77</v>
      </c>
      <c r="N414" s="27" t="n">
        <v>686</v>
      </c>
    </row>
    <row r="415" customFormat="false" ht="15" hidden="false" customHeight="true" outlineLevel="0" collapsed="false">
      <c r="A415" s="19" t="s">
        <v>911</v>
      </c>
      <c r="B415" s="19" t="s">
        <v>912</v>
      </c>
      <c r="C415" s="20" t="s">
        <v>99</v>
      </c>
      <c r="D415" s="21" t="n">
        <v>4024000</v>
      </c>
      <c r="E415" s="21" t="n">
        <v>0</v>
      </c>
      <c r="F415" s="22" t="n">
        <v>0.1541</v>
      </c>
      <c r="G415" s="20" t="n">
        <v>12</v>
      </c>
      <c r="H415" s="21" t="n">
        <v>363978.42</v>
      </c>
      <c r="I415" s="23" t="n">
        <v>44315</v>
      </c>
      <c r="J415" s="23" t="n">
        <v>44675</v>
      </c>
      <c r="K415" s="20" t="s">
        <v>94</v>
      </c>
      <c r="L415" s="24" t="n">
        <v>0</v>
      </c>
      <c r="M415" s="25" t="s">
        <v>77</v>
      </c>
      <c r="N415" s="20" t="n">
        <v>703</v>
      </c>
    </row>
    <row r="416" customFormat="false" ht="15" hidden="false" customHeight="true" outlineLevel="0" collapsed="false">
      <c r="A416" s="26" t="s">
        <v>913</v>
      </c>
      <c r="B416" s="26" t="s">
        <v>914</v>
      </c>
      <c r="C416" s="27" t="s">
        <v>80</v>
      </c>
      <c r="D416" s="28" t="n">
        <v>4784000</v>
      </c>
      <c r="E416" s="28" t="n">
        <v>0.04</v>
      </c>
      <c r="F416" s="29" t="n">
        <v>0.1684</v>
      </c>
      <c r="G416" s="27" t="n">
        <v>12</v>
      </c>
      <c r="H416" s="28" t="n">
        <v>435960.36</v>
      </c>
      <c r="I416" s="30" t="n">
        <v>43369</v>
      </c>
      <c r="J416" s="30" t="n">
        <v>43729</v>
      </c>
      <c r="K416" s="27" t="s">
        <v>81</v>
      </c>
      <c r="L416" s="31" t="n">
        <v>0</v>
      </c>
      <c r="M416" s="25" t="s">
        <v>77</v>
      </c>
      <c r="N416" s="27" t="n">
        <v>600</v>
      </c>
    </row>
    <row r="417" customFormat="false" ht="15" hidden="false" customHeight="true" outlineLevel="0" collapsed="false">
      <c r="A417" s="19" t="s">
        <v>915</v>
      </c>
      <c r="B417" s="19" t="s">
        <v>916</v>
      </c>
      <c r="C417" s="20" t="s">
        <v>91</v>
      </c>
      <c r="D417" s="21" t="n">
        <v>3529000</v>
      </c>
      <c r="E417" s="21" t="n">
        <v>1643068.46</v>
      </c>
      <c r="F417" s="22" t="n">
        <v>0.2363</v>
      </c>
      <c r="G417" s="20" t="n">
        <v>120</v>
      </c>
      <c r="H417" s="21" t="n">
        <v>76899.14</v>
      </c>
      <c r="I417" s="23" t="n">
        <v>43396</v>
      </c>
      <c r="J417" s="23" t="n">
        <v>46996</v>
      </c>
      <c r="K417" s="20" t="s">
        <v>94</v>
      </c>
      <c r="L417" s="24" t="n">
        <v>0</v>
      </c>
      <c r="M417" s="25" t="s">
        <v>77</v>
      </c>
      <c r="N417" s="20" t="n">
        <v>748</v>
      </c>
    </row>
    <row r="418" customFormat="false" ht="15" hidden="false" customHeight="true" outlineLevel="0" collapsed="false">
      <c r="A418" s="26" t="s">
        <v>917</v>
      </c>
      <c r="B418" s="26" t="s">
        <v>918</v>
      </c>
      <c r="C418" s="27" t="s">
        <v>91</v>
      </c>
      <c r="D418" s="28" t="n">
        <v>483000</v>
      </c>
      <c r="E418" s="28" t="n">
        <v>308586.22</v>
      </c>
      <c r="F418" s="29" t="n">
        <v>0.0934</v>
      </c>
      <c r="G418" s="27" t="n">
        <v>60</v>
      </c>
      <c r="H418" s="28" t="n">
        <v>10106.17</v>
      </c>
      <c r="I418" s="30" t="n">
        <v>45386</v>
      </c>
      <c r="J418" s="30" t="n">
        <v>47186</v>
      </c>
      <c r="K418" s="27" t="s">
        <v>81</v>
      </c>
      <c r="L418" s="31" t="n">
        <v>0</v>
      </c>
      <c r="M418" s="25" t="s">
        <v>77</v>
      </c>
      <c r="N418" s="27" t="n">
        <v>730</v>
      </c>
    </row>
    <row r="419" customFormat="false" ht="15" hidden="false" customHeight="true" outlineLevel="0" collapsed="false">
      <c r="A419" s="19" t="s">
        <v>919</v>
      </c>
      <c r="B419" s="19" t="s">
        <v>920</v>
      </c>
      <c r="C419" s="20" t="s">
        <v>91</v>
      </c>
      <c r="D419" s="21" t="n">
        <v>1616000</v>
      </c>
      <c r="E419" s="21" t="n">
        <v>0.09</v>
      </c>
      <c r="F419" s="22" t="n">
        <v>0.1454</v>
      </c>
      <c r="G419" s="20" t="n">
        <v>24</v>
      </c>
      <c r="H419" s="21" t="n">
        <v>78001.7</v>
      </c>
      <c r="I419" s="23" t="n">
        <v>45291</v>
      </c>
      <c r="J419" s="23" t="n">
        <v>46011</v>
      </c>
      <c r="K419" s="20" t="s">
        <v>81</v>
      </c>
      <c r="L419" s="24" t="n">
        <v>0</v>
      </c>
      <c r="M419" s="25" t="s">
        <v>77</v>
      </c>
      <c r="N419" s="20" t="n">
        <v>592</v>
      </c>
    </row>
    <row r="420" customFormat="false" ht="15" hidden="false" customHeight="true" outlineLevel="0" collapsed="false">
      <c r="A420" s="26" t="s">
        <v>921</v>
      </c>
      <c r="B420" s="26" t="s">
        <v>922</v>
      </c>
      <c r="C420" s="27" t="s">
        <v>84</v>
      </c>
      <c r="D420" s="28" t="n">
        <v>275000</v>
      </c>
      <c r="E420" s="28" t="n">
        <v>211649.94</v>
      </c>
      <c r="F420" s="29" t="n">
        <v>0.2165</v>
      </c>
      <c r="G420" s="27" t="n">
        <v>84</v>
      </c>
      <c r="H420" s="28" t="n">
        <v>6382.83</v>
      </c>
      <c r="I420" s="30" t="n">
        <v>45160</v>
      </c>
      <c r="J420" s="30" t="n">
        <v>47680</v>
      </c>
      <c r="K420" s="27" t="s">
        <v>81</v>
      </c>
      <c r="L420" s="31" t="n">
        <v>0</v>
      </c>
      <c r="M420" s="25" t="s">
        <v>77</v>
      </c>
      <c r="N420" s="27" t="n">
        <v>694</v>
      </c>
    </row>
    <row r="421" customFormat="false" ht="15" hidden="false" customHeight="true" outlineLevel="0" collapsed="false">
      <c r="A421" s="19" t="s">
        <v>923</v>
      </c>
      <c r="B421" s="19" t="s">
        <v>924</v>
      </c>
      <c r="C421" s="20" t="s">
        <v>80</v>
      </c>
      <c r="D421" s="21" t="n">
        <v>2006000</v>
      </c>
      <c r="E421" s="21" t="n">
        <v>1683538.59</v>
      </c>
      <c r="F421" s="22" t="n">
        <v>0.1874</v>
      </c>
      <c r="G421" s="20" t="n">
        <v>180</v>
      </c>
      <c r="H421" s="21" t="n">
        <v>33378.68</v>
      </c>
      <c r="I421" s="23" t="n">
        <v>43741</v>
      </c>
      <c r="J421" s="23" t="n">
        <v>49141</v>
      </c>
      <c r="K421" s="20" t="s">
        <v>76</v>
      </c>
      <c r="L421" s="24" t="n">
        <v>0</v>
      </c>
      <c r="M421" s="25" t="s">
        <v>77</v>
      </c>
      <c r="N421" s="20" t="n">
        <v>678</v>
      </c>
    </row>
    <row r="422" customFormat="false" ht="15" hidden="false" customHeight="true" outlineLevel="0" collapsed="false">
      <c r="A422" s="26" t="s">
        <v>925</v>
      </c>
      <c r="B422" s="26" t="s">
        <v>926</v>
      </c>
      <c r="C422" s="27" t="s">
        <v>91</v>
      </c>
      <c r="D422" s="28" t="n">
        <v>3189000</v>
      </c>
      <c r="E422" s="28" t="n">
        <v>0.14</v>
      </c>
      <c r="F422" s="29" t="n">
        <v>0.1312</v>
      </c>
      <c r="G422" s="27" t="n">
        <v>84</v>
      </c>
      <c r="H422" s="28" t="n">
        <v>58222.42</v>
      </c>
      <c r="I422" s="30" t="n">
        <v>43146</v>
      </c>
      <c r="J422" s="30" t="n">
        <v>45666</v>
      </c>
      <c r="K422" s="27" t="s">
        <v>76</v>
      </c>
      <c r="L422" s="31" t="n">
        <v>0</v>
      </c>
      <c r="M422" s="25" t="s">
        <v>77</v>
      </c>
      <c r="N422" s="27" t="n">
        <v>584</v>
      </c>
    </row>
    <row r="423" customFormat="false" ht="15" hidden="false" customHeight="true" outlineLevel="0" collapsed="false">
      <c r="A423" s="19" t="s">
        <v>927</v>
      </c>
      <c r="B423" s="19" t="s">
        <v>928</v>
      </c>
      <c r="C423" s="20" t="s">
        <v>80</v>
      </c>
      <c r="D423" s="21" t="n">
        <v>4738000</v>
      </c>
      <c r="E423" s="21" t="n">
        <v>894188.65</v>
      </c>
      <c r="F423" s="22" t="n">
        <v>0.1322</v>
      </c>
      <c r="G423" s="20" t="n">
        <v>84</v>
      </c>
      <c r="H423" s="21" t="n">
        <v>86761.22</v>
      </c>
      <c r="I423" s="23" t="n">
        <v>43968</v>
      </c>
      <c r="J423" s="23" t="n">
        <v>46488</v>
      </c>
      <c r="K423" s="20" t="s">
        <v>81</v>
      </c>
      <c r="L423" s="24" t="n">
        <v>0</v>
      </c>
      <c r="M423" s="25" t="s">
        <v>77</v>
      </c>
      <c r="N423" s="20" t="n">
        <v>588</v>
      </c>
    </row>
    <row r="424" customFormat="false" ht="15" hidden="false" customHeight="true" outlineLevel="0" collapsed="false">
      <c r="A424" s="26" t="s">
        <v>929</v>
      </c>
      <c r="B424" s="26" t="s">
        <v>930</v>
      </c>
      <c r="C424" s="27" t="s">
        <v>80</v>
      </c>
      <c r="D424" s="28" t="n">
        <v>1143000</v>
      </c>
      <c r="E424" s="28" t="n">
        <v>0.01</v>
      </c>
      <c r="F424" s="29" t="n">
        <v>0.2144</v>
      </c>
      <c r="G424" s="27" t="n">
        <v>48</v>
      </c>
      <c r="H424" s="28" t="n">
        <v>35664.85</v>
      </c>
      <c r="I424" s="30" t="n">
        <v>43570</v>
      </c>
      <c r="J424" s="30" t="n">
        <v>45010</v>
      </c>
      <c r="K424" s="27" t="s">
        <v>81</v>
      </c>
      <c r="L424" s="31" t="n">
        <v>0</v>
      </c>
      <c r="M424" s="25" t="s">
        <v>77</v>
      </c>
      <c r="N424" s="27" t="n">
        <v>613</v>
      </c>
    </row>
    <row r="425" customFormat="false" ht="15" hidden="false" customHeight="true" outlineLevel="0" collapsed="false">
      <c r="A425" s="19" t="s">
        <v>931</v>
      </c>
      <c r="B425" s="19" t="s">
        <v>932</v>
      </c>
      <c r="C425" s="20" t="s">
        <v>99</v>
      </c>
      <c r="D425" s="21" t="n">
        <v>2333000</v>
      </c>
      <c r="E425" s="21" t="n">
        <v>0.1</v>
      </c>
      <c r="F425" s="22" t="n">
        <v>0.1702</v>
      </c>
      <c r="G425" s="20" t="n">
        <v>60</v>
      </c>
      <c r="H425" s="21" t="n">
        <v>58006.15</v>
      </c>
      <c r="I425" s="23" t="n">
        <v>43376</v>
      </c>
      <c r="J425" s="23" t="n">
        <v>45176</v>
      </c>
      <c r="K425" s="20" t="s">
        <v>81</v>
      </c>
      <c r="L425" s="24" t="n">
        <v>0</v>
      </c>
      <c r="M425" s="25" t="s">
        <v>77</v>
      </c>
      <c r="N425" s="20" t="n">
        <v>850</v>
      </c>
    </row>
    <row r="426" customFormat="false" ht="15" hidden="false" customHeight="true" outlineLevel="0" collapsed="false">
      <c r="A426" s="26" t="s">
        <v>933</v>
      </c>
      <c r="B426" s="26" t="s">
        <v>934</v>
      </c>
      <c r="C426" s="27" t="s">
        <v>99</v>
      </c>
      <c r="D426" s="28" t="n">
        <v>1818000</v>
      </c>
      <c r="E426" s="28" t="n">
        <v>0.17</v>
      </c>
      <c r="F426" s="29" t="n">
        <v>0.1891</v>
      </c>
      <c r="G426" s="27" t="n">
        <v>48</v>
      </c>
      <c r="H426" s="28" t="n">
        <v>54272.11</v>
      </c>
      <c r="I426" s="30" t="n">
        <v>43510</v>
      </c>
      <c r="J426" s="30" t="n">
        <v>44950</v>
      </c>
      <c r="K426" s="27" t="s">
        <v>81</v>
      </c>
      <c r="L426" s="31" t="n">
        <v>0</v>
      </c>
      <c r="M426" s="25" t="s">
        <v>77</v>
      </c>
      <c r="N426" s="27" t="n">
        <v>563</v>
      </c>
    </row>
    <row r="427" customFormat="false" ht="15" hidden="false" customHeight="true" outlineLevel="0" collapsed="false">
      <c r="A427" s="19" t="s">
        <v>935</v>
      </c>
      <c r="B427" s="19" t="s">
        <v>936</v>
      </c>
      <c r="C427" s="20" t="s">
        <v>91</v>
      </c>
      <c r="D427" s="21" t="n">
        <v>3483000</v>
      </c>
      <c r="E427" s="21" t="n">
        <v>1370229.15</v>
      </c>
      <c r="F427" s="22" t="n">
        <v>0.1086</v>
      </c>
      <c r="G427" s="20" t="n">
        <v>84</v>
      </c>
      <c r="H427" s="21" t="n">
        <v>59381.37</v>
      </c>
      <c r="I427" s="23" t="n">
        <v>44396</v>
      </c>
      <c r="J427" s="23" t="n">
        <v>46916</v>
      </c>
      <c r="K427" s="20" t="s">
        <v>81</v>
      </c>
      <c r="L427" s="24" t="n">
        <v>0</v>
      </c>
      <c r="M427" s="25" t="s">
        <v>77</v>
      </c>
      <c r="N427" s="20" t="n">
        <v>614</v>
      </c>
    </row>
    <row r="428" customFormat="false" ht="15" hidden="false" customHeight="true" outlineLevel="0" collapsed="false">
      <c r="A428" s="26" t="s">
        <v>937</v>
      </c>
      <c r="B428" s="26" t="s">
        <v>938</v>
      </c>
      <c r="C428" s="27" t="s">
        <v>75</v>
      </c>
      <c r="D428" s="28" t="n">
        <v>3222000</v>
      </c>
      <c r="E428" s="28" t="n">
        <v>57633.3</v>
      </c>
      <c r="F428" s="29" t="n">
        <v>0.1279</v>
      </c>
      <c r="G428" s="27" t="n">
        <v>84</v>
      </c>
      <c r="H428" s="28" t="n">
        <v>58247.28</v>
      </c>
      <c r="I428" s="30" t="n">
        <v>43651</v>
      </c>
      <c r="J428" s="30" t="n">
        <v>46171</v>
      </c>
      <c r="K428" s="27" t="s">
        <v>94</v>
      </c>
      <c r="L428" s="31" t="n">
        <v>0</v>
      </c>
      <c r="M428" s="25" t="s">
        <v>77</v>
      </c>
      <c r="N428" s="27" t="n">
        <v>773</v>
      </c>
    </row>
    <row r="429" customFormat="false" ht="15" hidden="false" customHeight="true" outlineLevel="0" collapsed="false">
      <c r="A429" s="19" t="s">
        <v>939</v>
      </c>
      <c r="B429" s="19" t="s">
        <v>940</v>
      </c>
      <c r="C429" s="20" t="s">
        <v>91</v>
      </c>
      <c r="D429" s="21" t="n">
        <v>589000</v>
      </c>
      <c r="E429" s="21" t="n">
        <v>0.08</v>
      </c>
      <c r="F429" s="22" t="n">
        <v>0.1851</v>
      </c>
      <c r="G429" s="20" t="n">
        <v>24</v>
      </c>
      <c r="H429" s="21" t="n">
        <v>29550.64</v>
      </c>
      <c r="I429" s="23" t="n">
        <v>44250</v>
      </c>
      <c r="J429" s="23" t="n">
        <v>44970</v>
      </c>
      <c r="K429" s="20" t="s">
        <v>81</v>
      </c>
      <c r="L429" s="24" t="n">
        <v>0</v>
      </c>
      <c r="M429" s="25" t="s">
        <v>77</v>
      </c>
      <c r="N429" s="20" t="n">
        <v>684</v>
      </c>
    </row>
    <row r="430" customFormat="false" ht="15" hidden="false" customHeight="true" outlineLevel="0" collapsed="false">
      <c r="A430" s="26" t="s">
        <v>941</v>
      </c>
      <c r="B430" s="26" t="s">
        <v>942</v>
      </c>
      <c r="C430" s="27" t="s">
        <v>99</v>
      </c>
      <c r="D430" s="28" t="n">
        <v>428000</v>
      </c>
      <c r="E430" s="28" t="n">
        <v>0.02</v>
      </c>
      <c r="F430" s="29" t="n">
        <v>0.0967</v>
      </c>
      <c r="G430" s="27" t="n">
        <v>12</v>
      </c>
      <c r="H430" s="28" t="n">
        <v>37562.34</v>
      </c>
      <c r="I430" s="30" t="n">
        <v>45178</v>
      </c>
      <c r="J430" s="30" t="n">
        <v>45538</v>
      </c>
      <c r="K430" s="27" t="s">
        <v>94</v>
      </c>
      <c r="L430" s="31" t="n">
        <v>0</v>
      </c>
      <c r="M430" s="25" t="s">
        <v>77</v>
      </c>
      <c r="N430" s="27" t="n">
        <v>578</v>
      </c>
    </row>
    <row r="431" customFormat="false" ht="15" hidden="false" customHeight="true" outlineLevel="0" collapsed="false">
      <c r="A431" s="19" t="s">
        <v>943</v>
      </c>
      <c r="B431" s="19" t="s">
        <v>944</v>
      </c>
      <c r="C431" s="20" t="s">
        <v>84</v>
      </c>
      <c r="D431" s="21" t="n">
        <v>1340000</v>
      </c>
      <c r="E431" s="21" t="n">
        <v>1324179.31</v>
      </c>
      <c r="F431" s="22" t="n">
        <v>0.2236</v>
      </c>
      <c r="G431" s="20" t="n">
        <v>240</v>
      </c>
      <c r="H431" s="21" t="n">
        <v>25269.48</v>
      </c>
      <c r="I431" s="23" t="n">
        <v>45034</v>
      </c>
      <c r="J431" s="23" t="n">
        <v>52234</v>
      </c>
      <c r="K431" s="20" t="s">
        <v>94</v>
      </c>
      <c r="L431" s="24" t="n">
        <v>0</v>
      </c>
      <c r="M431" s="25" t="s">
        <v>77</v>
      </c>
      <c r="N431" s="20" t="n">
        <v>675</v>
      </c>
    </row>
    <row r="432" customFormat="false" ht="15" hidden="false" customHeight="true" outlineLevel="0" collapsed="false">
      <c r="A432" s="26" t="s">
        <v>945</v>
      </c>
      <c r="B432" s="26" t="s">
        <v>946</v>
      </c>
      <c r="C432" s="27" t="s">
        <v>99</v>
      </c>
      <c r="D432" s="28" t="n">
        <v>2969000</v>
      </c>
      <c r="E432" s="28" t="n">
        <v>0</v>
      </c>
      <c r="F432" s="29" t="n">
        <v>0.2179</v>
      </c>
      <c r="G432" s="27" t="n">
        <v>36</v>
      </c>
      <c r="H432" s="28" t="n">
        <v>113065.16</v>
      </c>
      <c r="I432" s="30" t="n">
        <v>45004</v>
      </c>
      <c r="J432" s="30" t="n">
        <v>46084</v>
      </c>
      <c r="K432" s="27" t="s">
        <v>76</v>
      </c>
      <c r="L432" s="31" t="n">
        <v>0</v>
      </c>
      <c r="M432" s="25" t="s">
        <v>77</v>
      </c>
      <c r="N432" s="27" t="n">
        <v>691</v>
      </c>
    </row>
    <row r="433" customFormat="false" ht="15" hidden="false" customHeight="true" outlineLevel="0" collapsed="false">
      <c r="A433" s="19" t="s">
        <v>947</v>
      </c>
      <c r="B433" s="19" t="s">
        <v>948</v>
      </c>
      <c r="C433" s="20" t="s">
        <v>80</v>
      </c>
      <c r="D433" s="21" t="n">
        <v>4910000</v>
      </c>
      <c r="E433" s="21" t="n">
        <v>4609108.98</v>
      </c>
      <c r="F433" s="22" t="n">
        <v>0.191</v>
      </c>
      <c r="G433" s="20" t="n">
        <v>240</v>
      </c>
      <c r="H433" s="21" t="n">
        <v>79957.67</v>
      </c>
      <c r="I433" s="23" t="n">
        <v>43675</v>
      </c>
      <c r="J433" s="23" t="n">
        <v>50875</v>
      </c>
      <c r="K433" s="20" t="s">
        <v>81</v>
      </c>
      <c r="L433" s="24" t="n">
        <v>0</v>
      </c>
      <c r="M433" s="25" t="s">
        <v>77</v>
      </c>
      <c r="N433" s="20" t="n">
        <v>684</v>
      </c>
    </row>
    <row r="434" customFormat="false" ht="15" hidden="false" customHeight="true" outlineLevel="0" collapsed="false">
      <c r="A434" s="26" t="s">
        <v>949</v>
      </c>
      <c r="B434" s="26" t="s">
        <v>950</v>
      </c>
      <c r="C434" s="27" t="s">
        <v>75</v>
      </c>
      <c r="D434" s="28" t="n">
        <v>4840000</v>
      </c>
      <c r="E434" s="28" t="n">
        <v>4472567.16</v>
      </c>
      <c r="F434" s="29" t="n">
        <v>0.1991</v>
      </c>
      <c r="G434" s="27" t="n">
        <v>180</v>
      </c>
      <c r="H434" s="28" t="n">
        <v>84683.11</v>
      </c>
      <c r="I434" s="30" t="n">
        <v>44570</v>
      </c>
      <c r="J434" s="30" t="n">
        <v>49970</v>
      </c>
      <c r="K434" s="27" t="s">
        <v>81</v>
      </c>
      <c r="L434" s="31" t="n">
        <v>0</v>
      </c>
      <c r="M434" s="25" t="s">
        <v>77</v>
      </c>
      <c r="N434" s="27" t="n">
        <v>850</v>
      </c>
    </row>
    <row r="435" customFormat="false" ht="15" hidden="false" customHeight="true" outlineLevel="0" collapsed="false">
      <c r="A435" s="19" t="s">
        <v>951</v>
      </c>
      <c r="B435" s="19" t="s">
        <v>952</v>
      </c>
      <c r="C435" s="20" t="s">
        <v>91</v>
      </c>
      <c r="D435" s="21" t="n">
        <v>2614000</v>
      </c>
      <c r="E435" s="21" t="n">
        <v>2275059.76</v>
      </c>
      <c r="F435" s="22" t="n">
        <v>0.2077</v>
      </c>
      <c r="G435" s="20" t="n">
        <v>120</v>
      </c>
      <c r="H435" s="21" t="n">
        <v>51858.67</v>
      </c>
      <c r="I435" s="23" t="n">
        <v>45024</v>
      </c>
      <c r="J435" s="23" t="n">
        <v>48624</v>
      </c>
      <c r="K435" s="20" t="s">
        <v>81</v>
      </c>
      <c r="L435" s="24" t="n">
        <v>0</v>
      </c>
      <c r="M435" s="25" t="s">
        <v>77</v>
      </c>
      <c r="N435" s="20" t="n">
        <v>681</v>
      </c>
    </row>
    <row r="436" customFormat="false" ht="15" hidden="false" customHeight="true" outlineLevel="0" collapsed="false">
      <c r="A436" s="26" t="s">
        <v>953</v>
      </c>
      <c r="B436" s="26" t="s">
        <v>954</v>
      </c>
      <c r="C436" s="27" t="s">
        <v>91</v>
      </c>
      <c r="D436" s="28" t="n">
        <v>3533000</v>
      </c>
      <c r="E436" s="28" t="n">
        <v>0.18</v>
      </c>
      <c r="F436" s="29" t="n">
        <v>0.1658</v>
      </c>
      <c r="G436" s="27" t="n">
        <v>60</v>
      </c>
      <c r="H436" s="28" t="n">
        <v>87008.26</v>
      </c>
      <c r="I436" s="30" t="n">
        <v>44179</v>
      </c>
      <c r="J436" s="30" t="n">
        <v>45979</v>
      </c>
      <c r="K436" s="27" t="s">
        <v>76</v>
      </c>
      <c r="L436" s="31" t="n">
        <v>0</v>
      </c>
      <c r="M436" s="25" t="s">
        <v>77</v>
      </c>
      <c r="N436" s="27" t="n">
        <v>788</v>
      </c>
    </row>
    <row r="437" customFormat="false" ht="15" hidden="false" customHeight="true" outlineLevel="0" collapsed="false">
      <c r="A437" s="19" t="s">
        <v>955</v>
      </c>
      <c r="B437" s="19" t="s">
        <v>956</v>
      </c>
      <c r="C437" s="20" t="s">
        <v>91</v>
      </c>
      <c r="D437" s="21" t="n">
        <v>435000</v>
      </c>
      <c r="E437" s="21" t="n">
        <v>179083.04</v>
      </c>
      <c r="F437" s="22" t="n">
        <v>0.124</v>
      </c>
      <c r="G437" s="20" t="n">
        <v>48</v>
      </c>
      <c r="H437" s="21" t="n">
        <v>11540.84</v>
      </c>
      <c r="I437" s="23" t="n">
        <v>45216</v>
      </c>
      <c r="J437" s="23" t="n">
        <v>46656</v>
      </c>
      <c r="K437" s="20" t="s">
        <v>81</v>
      </c>
      <c r="L437" s="24" t="n">
        <v>0</v>
      </c>
      <c r="M437" s="25" t="s">
        <v>77</v>
      </c>
      <c r="N437" s="20" t="n">
        <v>524</v>
      </c>
    </row>
    <row r="438" customFormat="false" ht="15" hidden="false" customHeight="true" outlineLevel="0" collapsed="false">
      <c r="A438" s="26" t="s">
        <v>957</v>
      </c>
      <c r="B438" s="26" t="s">
        <v>958</v>
      </c>
      <c r="C438" s="27" t="s">
        <v>84</v>
      </c>
      <c r="D438" s="28" t="n">
        <v>4442000</v>
      </c>
      <c r="E438" s="28" t="n">
        <v>0</v>
      </c>
      <c r="F438" s="29" t="n">
        <v>0.086</v>
      </c>
      <c r="G438" s="27" t="n">
        <v>36</v>
      </c>
      <c r="H438" s="28" t="n">
        <v>140428.92</v>
      </c>
      <c r="I438" s="30" t="n">
        <v>44902</v>
      </c>
      <c r="J438" s="30" t="n">
        <v>45982</v>
      </c>
      <c r="K438" s="27" t="s">
        <v>81</v>
      </c>
      <c r="L438" s="31" t="n">
        <v>0</v>
      </c>
      <c r="M438" s="25" t="s">
        <v>77</v>
      </c>
      <c r="N438" s="27" t="n">
        <v>580</v>
      </c>
    </row>
    <row r="439" customFormat="false" ht="15" hidden="false" customHeight="true" outlineLevel="0" collapsed="false">
      <c r="A439" s="19" t="s">
        <v>959</v>
      </c>
      <c r="B439" s="19" t="s">
        <v>960</v>
      </c>
      <c r="C439" s="20" t="s">
        <v>80</v>
      </c>
      <c r="D439" s="21" t="n">
        <v>3601000</v>
      </c>
      <c r="E439" s="21" t="n">
        <v>271027.67</v>
      </c>
      <c r="F439" s="22" t="n">
        <v>0.1033</v>
      </c>
      <c r="G439" s="20" t="n">
        <v>48</v>
      </c>
      <c r="H439" s="21" t="n">
        <v>91902.41</v>
      </c>
      <c r="I439" s="23" t="n">
        <v>44799</v>
      </c>
      <c r="J439" s="23" t="n">
        <v>46239</v>
      </c>
      <c r="K439" s="20" t="s">
        <v>81</v>
      </c>
      <c r="L439" s="24" t="n">
        <v>0</v>
      </c>
      <c r="M439" s="25" t="s">
        <v>77</v>
      </c>
      <c r="N439" s="20" t="n">
        <v>699</v>
      </c>
    </row>
    <row r="440" customFormat="false" ht="15" hidden="false" customHeight="true" outlineLevel="0" collapsed="false">
      <c r="A440" s="26" t="s">
        <v>961</v>
      </c>
      <c r="B440" s="26" t="s">
        <v>962</v>
      </c>
      <c r="C440" s="27" t="s">
        <v>91</v>
      </c>
      <c r="D440" s="28" t="n">
        <v>2974000</v>
      </c>
      <c r="E440" s="28" t="n">
        <v>1012001.43</v>
      </c>
      <c r="F440" s="29" t="n">
        <v>0.1853</v>
      </c>
      <c r="G440" s="27" t="n">
        <v>120</v>
      </c>
      <c r="H440" s="28" t="n">
        <v>54605.97</v>
      </c>
      <c r="I440" s="30" t="n">
        <v>43192</v>
      </c>
      <c r="J440" s="30" t="n">
        <v>46792</v>
      </c>
      <c r="K440" s="27" t="s">
        <v>81</v>
      </c>
      <c r="L440" s="31" t="n">
        <v>0</v>
      </c>
      <c r="M440" s="25" t="s">
        <v>77</v>
      </c>
      <c r="N440" s="27" t="n">
        <v>739</v>
      </c>
    </row>
    <row r="441" customFormat="false" ht="15" hidden="false" customHeight="true" outlineLevel="0" collapsed="false">
      <c r="A441" s="19" t="s">
        <v>963</v>
      </c>
      <c r="B441" s="19" t="s">
        <v>964</v>
      </c>
      <c r="C441" s="20" t="s">
        <v>80</v>
      </c>
      <c r="D441" s="21" t="n">
        <v>777000</v>
      </c>
      <c r="E441" s="21" t="n">
        <v>123884.52</v>
      </c>
      <c r="F441" s="22" t="n">
        <v>0.1108</v>
      </c>
      <c r="G441" s="20" t="n">
        <v>36</v>
      </c>
      <c r="H441" s="21" t="n">
        <v>25467.43</v>
      </c>
      <c r="I441" s="23" t="n">
        <v>45217</v>
      </c>
      <c r="J441" s="23" t="n">
        <v>46297</v>
      </c>
      <c r="K441" s="20" t="s">
        <v>81</v>
      </c>
      <c r="L441" s="24" t="n">
        <v>0</v>
      </c>
      <c r="M441" s="25" t="s">
        <v>77</v>
      </c>
      <c r="N441" s="20" t="n">
        <v>502</v>
      </c>
    </row>
    <row r="442" customFormat="false" ht="15" hidden="false" customHeight="true" outlineLevel="0" collapsed="false">
      <c r="A442" s="26" t="s">
        <v>965</v>
      </c>
      <c r="B442" s="26" t="s">
        <v>966</v>
      </c>
      <c r="C442" s="27" t="s">
        <v>99</v>
      </c>
      <c r="D442" s="28" t="n">
        <v>3653000</v>
      </c>
      <c r="E442" s="28" t="n">
        <v>0.05</v>
      </c>
      <c r="F442" s="29" t="n">
        <v>0.2123</v>
      </c>
      <c r="G442" s="27" t="n">
        <v>24</v>
      </c>
      <c r="H442" s="28" t="n">
        <v>188124.72</v>
      </c>
      <c r="I442" s="30" t="n">
        <v>43988</v>
      </c>
      <c r="J442" s="30" t="n">
        <v>44708</v>
      </c>
      <c r="K442" s="27" t="s">
        <v>81</v>
      </c>
      <c r="L442" s="31" t="n">
        <v>0</v>
      </c>
      <c r="M442" s="25" t="s">
        <v>77</v>
      </c>
      <c r="N442" s="27" t="n">
        <v>656</v>
      </c>
    </row>
    <row r="443" customFormat="false" ht="15" hidden="false" customHeight="true" outlineLevel="0" collapsed="false">
      <c r="A443" s="19" t="s">
        <v>967</v>
      </c>
      <c r="B443" s="19" t="s">
        <v>968</v>
      </c>
      <c r="C443" s="20" t="s">
        <v>80</v>
      </c>
      <c r="D443" s="21" t="n">
        <v>3983000</v>
      </c>
      <c r="E443" s="21" t="n">
        <v>576338.25</v>
      </c>
      <c r="F443" s="22" t="n">
        <v>0.2122</v>
      </c>
      <c r="G443" s="20" t="n">
        <v>36</v>
      </c>
      <c r="H443" s="21" t="n">
        <v>150510.07</v>
      </c>
      <c r="I443" s="23" t="n">
        <v>45193</v>
      </c>
      <c r="J443" s="23" t="n">
        <v>46273</v>
      </c>
      <c r="K443" s="20" t="s">
        <v>81</v>
      </c>
      <c r="L443" s="24" t="n">
        <v>0</v>
      </c>
      <c r="M443" s="25" t="s">
        <v>77</v>
      </c>
      <c r="N443" s="20" t="n">
        <v>722</v>
      </c>
    </row>
    <row r="444" customFormat="false" ht="15" hidden="false" customHeight="true" outlineLevel="0" collapsed="false">
      <c r="A444" s="26" t="s">
        <v>969</v>
      </c>
      <c r="B444" s="26" t="s">
        <v>970</v>
      </c>
      <c r="C444" s="27" t="s">
        <v>75</v>
      </c>
      <c r="D444" s="28" t="n">
        <v>391000</v>
      </c>
      <c r="E444" s="28" t="n">
        <v>0.04</v>
      </c>
      <c r="F444" s="29" t="n">
        <v>0.1436</v>
      </c>
      <c r="G444" s="27" t="n">
        <v>36</v>
      </c>
      <c r="H444" s="28" t="n">
        <v>13431.92</v>
      </c>
      <c r="I444" s="30" t="n">
        <v>43545</v>
      </c>
      <c r="J444" s="30" t="n">
        <v>44625</v>
      </c>
      <c r="K444" s="27" t="s">
        <v>81</v>
      </c>
      <c r="L444" s="31" t="n">
        <v>0</v>
      </c>
      <c r="M444" s="25" t="s">
        <v>77</v>
      </c>
      <c r="N444" s="27" t="n">
        <v>575</v>
      </c>
    </row>
    <row r="445" customFormat="false" ht="15" hidden="false" customHeight="true" outlineLevel="0" collapsed="false">
      <c r="A445" s="19" t="s">
        <v>971</v>
      </c>
      <c r="B445" s="19" t="s">
        <v>972</v>
      </c>
      <c r="C445" s="20" t="s">
        <v>75</v>
      </c>
      <c r="D445" s="21" t="n">
        <v>928000</v>
      </c>
      <c r="E445" s="21" t="n">
        <v>0.05</v>
      </c>
      <c r="F445" s="22" t="n">
        <v>0.2247</v>
      </c>
      <c r="G445" s="20" t="n">
        <v>12</v>
      </c>
      <c r="H445" s="21" t="n">
        <v>87065.63</v>
      </c>
      <c r="I445" s="23" t="n">
        <v>45277</v>
      </c>
      <c r="J445" s="23" t="n">
        <v>45637</v>
      </c>
      <c r="K445" s="20" t="s">
        <v>76</v>
      </c>
      <c r="L445" s="24" t="n">
        <v>0</v>
      </c>
      <c r="M445" s="25" t="s">
        <v>77</v>
      </c>
      <c r="N445" s="20" t="n">
        <v>720</v>
      </c>
    </row>
    <row r="446" customFormat="false" ht="15" hidden="false" customHeight="true" outlineLevel="0" collapsed="false">
      <c r="A446" s="26" t="s">
        <v>973</v>
      </c>
      <c r="B446" s="26" t="s">
        <v>974</v>
      </c>
      <c r="C446" s="27" t="s">
        <v>80</v>
      </c>
      <c r="D446" s="28" t="n">
        <v>3037000</v>
      </c>
      <c r="E446" s="28" t="n">
        <v>2746581.08</v>
      </c>
      <c r="F446" s="29" t="n">
        <v>0.2133</v>
      </c>
      <c r="G446" s="27" t="n">
        <v>120</v>
      </c>
      <c r="H446" s="28" t="n">
        <v>61394.32</v>
      </c>
      <c r="I446" s="30" t="n">
        <v>45239</v>
      </c>
      <c r="J446" s="30" t="n">
        <v>48839</v>
      </c>
      <c r="K446" s="27" t="s">
        <v>81</v>
      </c>
      <c r="L446" s="31" t="n">
        <v>0</v>
      </c>
      <c r="M446" s="25" t="s">
        <v>77</v>
      </c>
      <c r="N446" s="27" t="n">
        <v>573</v>
      </c>
    </row>
    <row r="447" customFormat="false" ht="15" hidden="false" customHeight="true" outlineLevel="0" collapsed="false">
      <c r="A447" s="19" t="s">
        <v>975</v>
      </c>
      <c r="B447" s="19" t="s">
        <v>976</v>
      </c>
      <c r="C447" s="20" t="s">
        <v>91</v>
      </c>
      <c r="D447" s="21" t="n">
        <v>3855000</v>
      </c>
      <c r="E447" s="21" t="n">
        <v>0</v>
      </c>
      <c r="F447" s="22" t="n">
        <v>0.1393</v>
      </c>
      <c r="G447" s="20" t="n">
        <v>24</v>
      </c>
      <c r="H447" s="21" t="n">
        <v>184962.21</v>
      </c>
      <c r="I447" s="23" t="n">
        <v>44843</v>
      </c>
      <c r="J447" s="23" t="n">
        <v>45563</v>
      </c>
      <c r="K447" s="20" t="s">
        <v>81</v>
      </c>
      <c r="L447" s="24" t="n">
        <v>0</v>
      </c>
      <c r="M447" s="25" t="s">
        <v>77</v>
      </c>
      <c r="N447" s="20" t="n">
        <v>754</v>
      </c>
    </row>
    <row r="448" customFormat="false" ht="15" hidden="false" customHeight="true" outlineLevel="0" collapsed="false">
      <c r="A448" s="26" t="s">
        <v>977</v>
      </c>
      <c r="B448" s="26" t="s">
        <v>978</v>
      </c>
      <c r="C448" s="27" t="s">
        <v>91</v>
      </c>
      <c r="D448" s="28" t="n">
        <v>4390000</v>
      </c>
      <c r="E448" s="28" t="n">
        <v>0.25</v>
      </c>
      <c r="F448" s="29" t="n">
        <v>0.1483</v>
      </c>
      <c r="G448" s="27" t="n">
        <v>48</v>
      </c>
      <c r="H448" s="28" t="n">
        <v>121799.01</v>
      </c>
      <c r="I448" s="30" t="n">
        <v>43123</v>
      </c>
      <c r="J448" s="30" t="n">
        <v>44563</v>
      </c>
      <c r="K448" s="27" t="s">
        <v>94</v>
      </c>
      <c r="L448" s="31" t="n">
        <v>0</v>
      </c>
      <c r="M448" s="25" t="s">
        <v>77</v>
      </c>
      <c r="N448" s="27" t="n">
        <v>635</v>
      </c>
    </row>
    <row r="449" customFormat="false" ht="15" hidden="false" customHeight="true" outlineLevel="0" collapsed="false">
      <c r="A449" s="19" t="s">
        <v>979</v>
      </c>
      <c r="B449" s="19" t="s">
        <v>980</v>
      </c>
      <c r="C449" s="20" t="s">
        <v>80</v>
      </c>
      <c r="D449" s="21" t="n">
        <v>3454000</v>
      </c>
      <c r="E449" s="21" t="n">
        <v>0.47</v>
      </c>
      <c r="F449" s="22" t="n">
        <v>0.134</v>
      </c>
      <c r="G449" s="20" t="n">
        <v>84</v>
      </c>
      <c r="H449" s="21" t="n">
        <v>63588.59</v>
      </c>
      <c r="I449" s="23" t="n">
        <v>43537</v>
      </c>
      <c r="J449" s="23" t="n">
        <v>46057</v>
      </c>
      <c r="K449" s="20" t="s">
        <v>81</v>
      </c>
      <c r="L449" s="24" t="n">
        <v>0</v>
      </c>
      <c r="M449" s="25" t="s">
        <v>77</v>
      </c>
      <c r="N449" s="20" t="n">
        <v>786</v>
      </c>
    </row>
    <row r="450" customFormat="false" ht="15" hidden="false" customHeight="true" outlineLevel="0" collapsed="false">
      <c r="A450" s="26" t="s">
        <v>981</v>
      </c>
      <c r="B450" s="26" t="s">
        <v>982</v>
      </c>
      <c r="C450" s="27" t="s">
        <v>99</v>
      </c>
      <c r="D450" s="28" t="n">
        <v>2147000</v>
      </c>
      <c r="E450" s="28" t="n">
        <v>601054.56</v>
      </c>
      <c r="F450" s="29" t="n">
        <v>0.1417</v>
      </c>
      <c r="G450" s="27" t="n">
        <v>60</v>
      </c>
      <c r="H450" s="28" t="n">
        <v>50146.36</v>
      </c>
      <c r="I450" s="30" t="n">
        <v>44728</v>
      </c>
      <c r="J450" s="30" t="n">
        <v>46528</v>
      </c>
      <c r="K450" s="27" t="s">
        <v>81</v>
      </c>
      <c r="L450" s="31" t="n">
        <v>0</v>
      </c>
      <c r="M450" s="25" t="s">
        <v>77</v>
      </c>
      <c r="N450" s="27" t="n">
        <v>675</v>
      </c>
    </row>
    <row r="451" customFormat="false" ht="15" hidden="false" customHeight="true" outlineLevel="0" collapsed="false">
      <c r="A451" s="19" t="s">
        <v>983</v>
      </c>
      <c r="B451" s="19" t="s">
        <v>984</v>
      </c>
      <c r="C451" s="20" t="s">
        <v>80</v>
      </c>
      <c r="D451" s="21" t="n">
        <v>4943000</v>
      </c>
      <c r="E451" s="21" t="n">
        <v>2485128.39</v>
      </c>
      <c r="F451" s="22" t="n">
        <v>0.1745</v>
      </c>
      <c r="G451" s="20" t="n">
        <v>120</v>
      </c>
      <c r="H451" s="21" t="n">
        <v>87322.79</v>
      </c>
      <c r="I451" s="23" t="n">
        <v>43666</v>
      </c>
      <c r="J451" s="23" t="n">
        <v>47266</v>
      </c>
      <c r="K451" s="20" t="s">
        <v>94</v>
      </c>
      <c r="L451" s="24" t="n">
        <v>0</v>
      </c>
      <c r="M451" s="25" t="s">
        <v>77</v>
      </c>
      <c r="N451" s="20" t="n">
        <v>584</v>
      </c>
    </row>
    <row r="452" customFormat="false" ht="15" hidden="false" customHeight="true" outlineLevel="0" collapsed="false">
      <c r="A452" s="26" t="s">
        <v>985</v>
      </c>
      <c r="B452" s="26" t="s">
        <v>986</v>
      </c>
      <c r="C452" s="27" t="s">
        <v>99</v>
      </c>
      <c r="D452" s="28" t="n">
        <v>546000</v>
      </c>
      <c r="E452" s="28" t="n">
        <v>437317.53</v>
      </c>
      <c r="F452" s="29" t="n">
        <v>0.1638</v>
      </c>
      <c r="G452" s="27" t="n">
        <v>84</v>
      </c>
      <c r="H452" s="28" t="n">
        <v>10963.19</v>
      </c>
      <c r="I452" s="30" t="n">
        <v>45356</v>
      </c>
      <c r="J452" s="30" t="n">
        <v>47876</v>
      </c>
      <c r="K452" s="27" t="s">
        <v>76</v>
      </c>
      <c r="L452" s="31" t="n">
        <v>0</v>
      </c>
      <c r="M452" s="25" t="s">
        <v>77</v>
      </c>
      <c r="N452" s="27" t="n">
        <v>636</v>
      </c>
    </row>
    <row r="453" customFormat="false" ht="15" hidden="false" customHeight="true" outlineLevel="0" collapsed="false">
      <c r="A453" s="19" t="s">
        <v>987</v>
      </c>
      <c r="B453" s="19" t="s">
        <v>988</v>
      </c>
      <c r="C453" s="20" t="s">
        <v>91</v>
      </c>
      <c r="D453" s="21" t="n">
        <v>4125000</v>
      </c>
      <c r="E453" s="21" t="n">
        <v>1736918.64</v>
      </c>
      <c r="F453" s="22" t="n">
        <v>0.1581</v>
      </c>
      <c r="G453" s="20" t="n">
        <v>120</v>
      </c>
      <c r="H453" s="21" t="n">
        <v>68611.53</v>
      </c>
      <c r="I453" s="23" t="n">
        <v>43462</v>
      </c>
      <c r="J453" s="23" t="n">
        <v>47062</v>
      </c>
      <c r="K453" s="20" t="s">
        <v>81</v>
      </c>
      <c r="L453" s="24" t="n">
        <v>0</v>
      </c>
      <c r="M453" s="25" t="s">
        <v>77</v>
      </c>
      <c r="N453" s="20" t="n">
        <v>575</v>
      </c>
    </row>
    <row r="454" customFormat="false" ht="15" hidden="false" customHeight="true" outlineLevel="0" collapsed="false">
      <c r="A454" s="26" t="s">
        <v>989</v>
      </c>
      <c r="B454" s="26" t="s">
        <v>990</v>
      </c>
      <c r="C454" s="27" t="s">
        <v>80</v>
      </c>
      <c r="D454" s="28" t="n">
        <v>1952000</v>
      </c>
      <c r="E454" s="28" t="n">
        <v>1909732.93</v>
      </c>
      <c r="F454" s="29" t="n">
        <v>0.2376</v>
      </c>
      <c r="G454" s="27" t="n">
        <v>240</v>
      </c>
      <c r="H454" s="28" t="n">
        <v>39002.37</v>
      </c>
      <c r="I454" s="30" t="n">
        <v>44274</v>
      </c>
      <c r="J454" s="30" t="n">
        <v>51474</v>
      </c>
      <c r="K454" s="27" t="s">
        <v>94</v>
      </c>
      <c r="L454" s="31" t="n">
        <v>0</v>
      </c>
      <c r="M454" s="25" t="s">
        <v>77</v>
      </c>
      <c r="N454" s="27" t="n">
        <v>561</v>
      </c>
    </row>
    <row r="455" customFormat="false" ht="15" hidden="false" customHeight="true" outlineLevel="0" collapsed="false">
      <c r="A455" s="19" t="s">
        <v>991</v>
      </c>
      <c r="B455" s="19" t="s">
        <v>992</v>
      </c>
      <c r="C455" s="20" t="s">
        <v>75</v>
      </c>
      <c r="D455" s="21" t="n">
        <v>3302000</v>
      </c>
      <c r="E455" s="21" t="n">
        <v>0.18</v>
      </c>
      <c r="F455" s="22" t="n">
        <v>0.2096</v>
      </c>
      <c r="G455" s="20" t="n">
        <v>60</v>
      </c>
      <c r="H455" s="21" t="n">
        <v>89255.91</v>
      </c>
      <c r="I455" s="23" t="n">
        <v>43898</v>
      </c>
      <c r="J455" s="23" t="n">
        <v>45698</v>
      </c>
      <c r="K455" s="20" t="s">
        <v>81</v>
      </c>
      <c r="L455" s="24" t="n">
        <v>0</v>
      </c>
      <c r="M455" s="25" t="s">
        <v>77</v>
      </c>
      <c r="N455" s="20" t="n">
        <v>620</v>
      </c>
    </row>
    <row r="456" customFormat="false" ht="15" hidden="false" customHeight="true" outlineLevel="0" collapsed="false">
      <c r="A456" s="26" t="s">
        <v>993</v>
      </c>
      <c r="B456" s="26" t="s">
        <v>994</v>
      </c>
      <c r="C456" s="27" t="s">
        <v>80</v>
      </c>
      <c r="D456" s="28" t="n">
        <v>889000</v>
      </c>
      <c r="E456" s="28" t="n">
        <v>0</v>
      </c>
      <c r="F456" s="29" t="n">
        <v>0.0906</v>
      </c>
      <c r="G456" s="27" t="n">
        <v>48</v>
      </c>
      <c r="H456" s="28" t="n">
        <v>22148.14</v>
      </c>
      <c r="I456" s="30" t="n">
        <v>43102</v>
      </c>
      <c r="J456" s="30" t="n">
        <v>44542</v>
      </c>
      <c r="K456" s="27" t="s">
        <v>81</v>
      </c>
      <c r="L456" s="31" t="n">
        <v>0</v>
      </c>
      <c r="M456" s="25" t="s">
        <v>77</v>
      </c>
      <c r="N456" s="27" t="n">
        <v>690</v>
      </c>
    </row>
    <row r="457" customFormat="false" ht="15" hidden="false" customHeight="true" outlineLevel="0" collapsed="false">
      <c r="A457" s="19" t="s">
        <v>995</v>
      </c>
      <c r="B457" s="19" t="s">
        <v>996</v>
      </c>
      <c r="C457" s="20" t="s">
        <v>91</v>
      </c>
      <c r="D457" s="21" t="n">
        <v>2613000</v>
      </c>
      <c r="E457" s="21" t="n">
        <v>0.14</v>
      </c>
      <c r="F457" s="22" t="n">
        <v>0.1992</v>
      </c>
      <c r="G457" s="20" t="n">
        <v>24</v>
      </c>
      <c r="H457" s="21" t="n">
        <v>132888.63</v>
      </c>
      <c r="I457" s="23" t="n">
        <v>43470</v>
      </c>
      <c r="J457" s="23" t="n">
        <v>44190</v>
      </c>
      <c r="K457" s="20" t="s">
        <v>76</v>
      </c>
      <c r="L457" s="24" t="n">
        <v>0</v>
      </c>
      <c r="M457" s="25" t="s">
        <v>77</v>
      </c>
      <c r="N457" s="20" t="n">
        <v>585</v>
      </c>
    </row>
    <row r="458" customFormat="false" ht="15" hidden="false" customHeight="true" outlineLevel="0" collapsed="false">
      <c r="A458" s="26" t="s">
        <v>997</v>
      </c>
      <c r="B458" s="26" t="s">
        <v>998</v>
      </c>
      <c r="C458" s="27" t="s">
        <v>91</v>
      </c>
      <c r="D458" s="28" t="n">
        <v>4818000</v>
      </c>
      <c r="E458" s="28" t="n">
        <v>1099364.34</v>
      </c>
      <c r="F458" s="29" t="n">
        <v>0.1279</v>
      </c>
      <c r="G458" s="27" t="n">
        <v>48</v>
      </c>
      <c r="H458" s="28" t="n">
        <v>128753.27</v>
      </c>
      <c r="I458" s="30" t="n">
        <v>44963</v>
      </c>
      <c r="J458" s="30" t="n">
        <v>46403</v>
      </c>
      <c r="K458" s="27" t="s">
        <v>81</v>
      </c>
      <c r="L458" s="31" t="n">
        <v>0</v>
      </c>
      <c r="M458" s="25" t="s">
        <v>77</v>
      </c>
      <c r="N458" s="27" t="n">
        <v>735</v>
      </c>
    </row>
    <row r="459" customFormat="false" ht="15" hidden="false" customHeight="true" outlineLevel="0" collapsed="false">
      <c r="A459" s="19" t="s">
        <v>999</v>
      </c>
      <c r="B459" s="19" t="s">
        <v>1000</v>
      </c>
      <c r="C459" s="20" t="s">
        <v>91</v>
      </c>
      <c r="D459" s="21" t="n">
        <v>1733000</v>
      </c>
      <c r="E459" s="21" t="n">
        <v>1539412.64</v>
      </c>
      <c r="F459" s="22" t="n">
        <v>0.1031</v>
      </c>
      <c r="G459" s="20" t="n">
        <v>240</v>
      </c>
      <c r="H459" s="21" t="n">
        <v>17081.31</v>
      </c>
      <c r="I459" s="23" t="n">
        <v>44156</v>
      </c>
      <c r="J459" s="23" t="n">
        <v>51356</v>
      </c>
      <c r="K459" s="20" t="s">
        <v>76</v>
      </c>
      <c r="L459" s="24" t="n">
        <v>0</v>
      </c>
      <c r="M459" s="25" t="s">
        <v>77</v>
      </c>
      <c r="N459" s="20" t="n">
        <v>581</v>
      </c>
    </row>
    <row r="460" customFormat="false" ht="15" hidden="false" customHeight="true" outlineLevel="0" collapsed="false">
      <c r="A460" s="26" t="s">
        <v>1001</v>
      </c>
      <c r="B460" s="26" t="s">
        <v>1002</v>
      </c>
      <c r="C460" s="27" t="s">
        <v>91</v>
      </c>
      <c r="D460" s="28" t="n">
        <v>1917000</v>
      </c>
      <c r="E460" s="28" t="n">
        <v>0</v>
      </c>
      <c r="F460" s="29" t="n">
        <v>0.16</v>
      </c>
      <c r="G460" s="27" t="n">
        <v>48</v>
      </c>
      <c r="H460" s="28" t="n">
        <v>54328.32</v>
      </c>
      <c r="I460" s="30" t="n">
        <v>44492</v>
      </c>
      <c r="J460" s="30" t="n">
        <v>45932</v>
      </c>
      <c r="K460" s="27" t="s">
        <v>81</v>
      </c>
      <c r="L460" s="31" t="n">
        <v>0</v>
      </c>
      <c r="M460" s="25" t="s">
        <v>77</v>
      </c>
      <c r="N460" s="27" t="n">
        <v>635</v>
      </c>
    </row>
    <row r="461" customFormat="false" ht="15" hidden="false" customHeight="true" outlineLevel="0" collapsed="false">
      <c r="A461" s="19" t="s">
        <v>1003</v>
      </c>
      <c r="B461" s="19" t="s">
        <v>1004</v>
      </c>
      <c r="C461" s="20" t="s">
        <v>91</v>
      </c>
      <c r="D461" s="21" t="n">
        <v>3954000</v>
      </c>
      <c r="E461" s="21" t="n">
        <v>0.16</v>
      </c>
      <c r="F461" s="22" t="n">
        <v>0.1192</v>
      </c>
      <c r="G461" s="20" t="n">
        <v>48</v>
      </c>
      <c r="H461" s="21" t="n">
        <v>103968.74</v>
      </c>
      <c r="I461" s="23" t="n">
        <v>44394</v>
      </c>
      <c r="J461" s="23" t="n">
        <v>45834</v>
      </c>
      <c r="K461" s="20" t="s">
        <v>81</v>
      </c>
      <c r="L461" s="24" t="n">
        <v>0</v>
      </c>
      <c r="M461" s="25" t="s">
        <v>77</v>
      </c>
      <c r="N461" s="20" t="n">
        <v>666</v>
      </c>
    </row>
    <row r="462" customFormat="false" ht="15" hidden="false" customHeight="true" outlineLevel="0" collapsed="false">
      <c r="A462" s="26" t="s">
        <v>1005</v>
      </c>
      <c r="B462" s="26" t="s">
        <v>1006</v>
      </c>
      <c r="C462" s="27" t="s">
        <v>75</v>
      </c>
      <c r="D462" s="28" t="n">
        <v>1354000</v>
      </c>
      <c r="E462" s="28" t="n">
        <v>939077.71</v>
      </c>
      <c r="F462" s="29" t="n">
        <v>0.1295</v>
      </c>
      <c r="G462" s="27" t="n">
        <v>120</v>
      </c>
      <c r="H462" s="28" t="n">
        <v>20176.76</v>
      </c>
      <c r="I462" s="30" t="n">
        <v>44501</v>
      </c>
      <c r="J462" s="30" t="n">
        <v>48101</v>
      </c>
      <c r="K462" s="27" t="s">
        <v>81</v>
      </c>
      <c r="L462" s="31" t="n">
        <v>0</v>
      </c>
      <c r="M462" s="25" t="s">
        <v>77</v>
      </c>
      <c r="N462" s="27" t="n">
        <v>748</v>
      </c>
    </row>
    <row r="463" customFormat="false" ht="15" hidden="false" customHeight="true" outlineLevel="0" collapsed="false">
      <c r="A463" s="19" t="s">
        <v>1007</v>
      </c>
      <c r="B463" s="19" t="s">
        <v>1008</v>
      </c>
      <c r="C463" s="20" t="s">
        <v>91</v>
      </c>
      <c r="D463" s="21" t="n">
        <v>4738000</v>
      </c>
      <c r="E463" s="21" t="n">
        <v>1880277.35</v>
      </c>
      <c r="F463" s="22" t="n">
        <v>0.1909</v>
      </c>
      <c r="G463" s="20" t="n">
        <v>48</v>
      </c>
      <c r="H463" s="21" t="n">
        <v>141891.87</v>
      </c>
      <c r="I463" s="23" t="n">
        <v>45144</v>
      </c>
      <c r="J463" s="23" t="n">
        <v>46584</v>
      </c>
      <c r="K463" s="20" t="s">
        <v>94</v>
      </c>
      <c r="L463" s="24" t="n">
        <v>0</v>
      </c>
      <c r="M463" s="25" t="s">
        <v>77</v>
      </c>
      <c r="N463" s="20" t="n">
        <v>719</v>
      </c>
    </row>
    <row r="464" customFormat="false" ht="15" hidden="false" customHeight="true" outlineLevel="0" collapsed="false">
      <c r="A464" s="26" t="s">
        <v>1009</v>
      </c>
      <c r="B464" s="26" t="s">
        <v>1010</v>
      </c>
      <c r="C464" s="27" t="s">
        <v>80</v>
      </c>
      <c r="D464" s="28" t="n">
        <v>1054000</v>
      </c>
      <c r="E464" s="28" t="n">
        <v>73360.26</v>
      </c>
      <c r="F464" s="29" t="n">
        <v>0.1237</v>
      </c>
      <c r="G464" s="27" t="n">
        <v>84</v>
      </c>
      <c r="H464" s="28" t="n">
        <v>18815.18</v>
      </c>
      <c r="I464" s="30" t="n">
        <v>43739</v>
      </c>
      <c r="J464" s="30" t="n">
        <v>46259</v>
      </c>
      <c r="K464" s="27" t="s">
        <v>81</v>
      </c>
      <c r="L464" s="31" t="n">
        <v>0</v>
      </c>
      <c r="M464" s="25" t="s">
        <v>77</v>
      </c>
      <c r="N464" s="27" t="n">
        <v>630</v>
      </c>
    </row>
    <row r="465" customFormat="false" ht="15" hidden="false" customHeight="true" outlineLevel="0" collapsed="false">
      <c r="A465" s="19" t="s">
        <v>1011</v>
      </c>
      <c r="B465" s="19" t="s">
        <v>1012</v>
      </c>
      <c r="C465" s="20" t="s">
        <v>91</v>
      </c>
      <c r="D465" s="21" t="n">
        <v>4792000</v>
      </c>
      <c r="E465" s="21" t="n">
        <v>2291728.42</v>
      </c>
      <c r="F465" s="22" t="n">
        <v>0.2164</v>
      </c>
      <c r="G465" s="20" t="n">
        <v>84</v>
      </c>
      <c r="H465" s="21" t="n">
        <v>111194.19</v>
      </c>
      <c r="I465" s="23" t="n">
        <v>44392</v>
      </c>
      <c r="J465" s="23" t="n">
        <v>46912</v>
      </c>
      <c r="K465" s="20" t="s">
        <v>81</v>
      </c>
      <c r="L465" s="24" t="n">
        <v>0</v>
      </c>
      <c r="M465" s="25" t="s">
        <v>77</v>
      </c>
      <c r="N465" s="20" t="n">
        <v>827</v>
      </c>
    </row>
    <row r="466" customFormat="false" ht="15" hidden="false" customHeight="true" outlineLevel="0" collapsed="false">
      <c r="A466" s="26" t="s">
        <v>1013</v>
      </c>
      <c r="B466" s="26" t="s">
        <v>1014</v>
      </c>
      <c r="C466" s="27" t="s">
        <v>99</v>
      </c>
      <c r="D466" s="28" t="n">
        <v>2479000</v>
      </c>
      <c r="E466" s="28" t="n">
        <v>2423810.93</v>
      </c>
      <c r="F466" s="29" t="n">
        <v>0.2376</v>
      </c>
      <c r="G466" s="27" t="n">
        <v>240</v>
      </c>
      <c r="H466" s="28" t="n">
        <v>49532.21</v>
      </c>
      <c r="I466" s="30" t="n">
        <v>44248</v>
      </c>
      <c r="J466" s="30" t="n">
        <v>51448</v>
      </c>
      <c r="K466" s="27" t="s">
        <v>81</v>
      </c>
      <c r="L466" s="31" t="n">
        <v>0</v>
      </c>
      <c r="M466" s="25" t="s">
        <v>77</v>
      </c>
      <c r="N466" s="27" t="n">
        <v>676</v>
      </c>
    </row>
    <row r="467" customFormat="false" ht="15" hidden="false" customHeight="true" outlineLevel="0" collapsed="false">
      <c r="A467" s="19" t="s">
        <v>1015</v>
      </c>
      <c r="B467" s="19" t="s">
        <v>1016</v>
      </c>
      <c r="C467" s="20" t="s">
        <v>91</v>
      </c>
      <c r="D467" s="21" t="n">
        <v>211000</v>
      </c>
      <c r="E467" s="21" t="n">
        <v>0</v>
      </c>
      <c r="F467" s="22" t="n">
        <v>0.1388</v>
      </c>
      <c r="G467" s="20" t="n">
        <v>36</v>
      </c>
      <c r="H467" s="21" t="n">
        <v>7199.19</v>
      </c>
      <c r="I467" s="23" t="n">
        <v>44973</v>
      </c>
      <c r="J467" s="23" t="n">
        <v>46053</v>
      </c>
      <c r="K467" s="20" t="s">
        <v>81</v>
      </c>
      <c r="L467" s="24" t="n">
        <v>0</v>
      </c>
      <c r="M467" s="25" t="s">
        <v>77</v>
      </c>
      <c r="N467" s="20" t="n">
        <v>502</v>
      </c>
    </row>
    <row r="468" customFormat="false" ht="15" hidden="false" customHeight="true" outlineLevel="0" collapsed="false">
      <c r="A468" s="26" t="s">
        <v>1017</v>
      </c>
      <c r="B468" s="26" t="s">
        <v>1018</v>
      </c>
      <c r="C468" s="27" t="s">
        <v>80</v>
      </c>
      <c r="D468" s="28" t="n">
        <v>3387000</v>
      </c>
      <c r="E468" s="28" t="n">
        <v>0.04</v>
      </c>
      <c r="F468" s="29" t="n">
        <v>0.1438</v>
      </c>
      <c r="G468" s="27" t="n">
        <v>24</v>
      </c>
      <c r="H468" s="28" t="n">
        <v>163228.32</v>
      </c>
      <c r="I468" s="30" t="n">
        <v>44433</v>
      </c>
      <c r="J468" s="30" t="n">
        <v>45153</v>
      </c>
      <c r="K468" s="27" t="s">
        <v>81</v>
      </c>
      <c r="L468" s="31" t="n">
        <v>0</v>
      </c>
      <c r="M468" s="25" t="s">
        <v>77</v>
      </c>
      <c r="N468" s="27" t="n">
        <v>757</v>
      </c>
    </row>
    <row r="469" customFormat="false" ht="15" hidden="false" customHeight="true" outlineLevel="0" collapsed="false">
      <c r="A469" s="19" t="s">
        <v>1019</v>
      </c>
      <c r="B469" s="19" t="s">
        <v>1020</v>
      </c>
      <c r="C469" s="20" t="s">
        <v>91</v>
      </c>
      <c r="D469" s="21" t="n">
        <v>1748000</v>
      </c>
      <c r="E469" s="21" t="n">
        <v>923356.86</v>
      </c>
      <c r="F469" s="22" t="n">
        <v>0.1135</v>
      </c>
      <c r="G469" s="20" t="n">
        <v>120</v>
      </c>
      <c r="H469" s="21" t="n">
        <v>24426.31</v>
      </c>
      <c r="I469" s="23" t="n">
        <v>43963</v>
      </c>
      <c r="J469" s="23" t="n">
        <v>47563</v>
      </c>
      <c r="K469" s="20" t="s">
        <v>81</v>
      </c>
      <c r="L469" s="24" t="n">
        <v>0</v>
      </c>
      <c r="M469" s="25" t="s">
        <v>77</v>
      </c>
      <c r="N469" s="20" t="n">
        <v>645</v>
      </c>
    </row>
    <row r="470" customFormat="false" ht="15" hidden="false" customHeight="true" outlineLevel="0" collapsed="false">
      <c r="A470" s="26" t="s">
        <v>1021</v>
      </c>
      <c r="B470" s="26" t="s">
        <v>1022</v>
      </c>
      <c r="C470" s="27" t="s">
        <v>91</v>
      </c>
      <c r="D470" s="28" t="n">
        <v>940000</v>
      </c>
      <c r="E470" s="28" t="n">
        <v>0</v>
      </c>
      <c r="F470" s="29" t="n">
        <v>0.1053</v>
      </c>
      <c r="G470" s="27" t="n">
        <v>48</v>
      </c>
      <c r="H470" s="28" t="n">
        <v>24080.8</v>
      </c>
      <c r="I470" s="30" t="n">
        <v>43510</v>
      </c>
      <c r="J470" s="30" t="n">
        <v>44950</v>
      </c>
      <c r="K470" s="27" t="s">
        <v>94</v>
      </c>
      <c r="L470" s="31" t="n">
        <v>0</v>
      </c>
      <c r="M470" s="25" t="s">
        <v>77</v>
      </c>
      <c r="N470" s="27" t="n">
        <v>850</v>
      </c>
    </row>
    <row r="471" customFormat="false" ht="15" hidden="false" customHeight="true" outlineLevel="0" collapsed="false">
      <c r="A471" s="19" t="s">
        <v>1023</v>
      </c>
      <c r="B471" s="19" t="s">
        <v>1024</v>
      </c>
      <c r="C471" s="20" t="s">
        <v>99</v>
      </c>
      <c r="D471" s="21" t="n">
        <v>3706000</v>
      </c>
      <c r="E471" s="21" t="n">
        <v>0.04</v>
      </c>
      <c r="F471" s="22" t="n">
        <v>0.1583</v>
      </c>
      <c r="G471" s="20" t="n">
        <v>12</v>
      </c>
      <c r="H471" s="21" t="n">
        <v>335950.49</v>
      </c>
      <c r="I471" s="23" t="n">
        <v>43824</v>
      </c>
      <c r="J471" s="23" t="n">
        <v>44184</v>
      </c>
      <c r="K471" s="20" t="s">
        <v>81</v>
      </c>
      <c r="L471" s="24" t="n">
        <v>0</v>
      </c>
      <c r="M471" s="32" t="s">
        <v>104</v>
      </c>
      <c r="N471" s="20" t="n">
        <v>717</v>
      </c>
    </row>
    <row r="472" customFormat="false" ht="15" hidden="false" customHeight="true" outlineLevel="0" collapsed="false">
      <c r="A472" s="26" t="s">
        <v>1025</v>
      </c>
      <c r="B472" s="26" t="s">
        <v>1026</v>
      </c>
      <c r="C472" s="27" t="s">
        <v>91</v>
      </c>
      <c r="D472" s="28" t="n">
        <v>3617000</v>
      </c>
      <c r="E472" s="28" t="n">
        <v>0.46</v>
      </c>
      <c r="F472" s="29" t="n">
        <v>0.2067</v>
      </c>
      <c r="G472" s="27" t="n">
        <v>60</v>
      </c>
      <c r="H472" s="28" t="n">
        <v>97181.76</v>
      </c>
      <c r="I472" s="30" t="n">
        <v>44128</v>
      </c>
      <c r="J472" s="30" t="n">
        <v>45928</v>
      </c>
      <c r="K472" s="27" t="s">
        <v>76</v>
      </c>
      <c r="L472" s="31" t="n">
        <v>0</v>
      </c>
      <c r="M472" s="25" t="s">
        <v>77</v>
      </c>
      <c r="N472" s="27" t="n">
        <v>805</v>
      </c>
    </row>
    <row r="473" customFormat="false" ht="15" hidden="false" customHeight="true" outlineLevel="0" collapsed="false">
      <c r="A473" s="19" t="s">
        <v>1027</v>
      </c>
      <c r="B473" s="19" t="s">
        <v>1028</v>
      </c>
      <c r="C473" s="20" t="s">
        <v>75</v>
      </c>
      <c r="D473" s="21" t="n">
        <v>2409000</v>
      </c>
      <c r="E473" s="21" t="n">
        <v>2182721.55</v>
      </c>
      <c r="F473" s="22" t="n">
        <v>0.1826</v>
      </c>
      <c r="G473" s="20" t="n">
        <v>180</v>
      </c>
      <c r="H473" s="21" t="n">
        <v>39246.52</v>
      </c>
      <c r="I473" s="23" t="n">
        <v>44471</v>
      </c>
      <c r="J473" s="23" t="n">
        <v>49871</v>
      </c>
      <c r="K473" s="20" t="s">
        <v>81</v>
      </c>
      <c r="L473" s="24" t="n">
        <v>0</v>
      </c>
      <c r="M473" s="25" t="s">
        <v>77</v>
      </c>
      <c r="N473" s="20" t="n">
        <v>806</v>
      </c>
    </row>
    <row r="474" customFormat="false" ht="15" hidden="false" customHeight="true" outlineLevel="0" collapsed="false">
      <c r="A474" s="26" t="s">
        <v>1029</v>
      </c>
      <c r="B474" s="26" t="s">
        <v>1030</v>
      </c>
      <c r="C474" s="27" t="s">
        <v>91</v>
      </c>
      <c r="D474" s="28" t="n">
        <v>2088000</v>
      </c>
      <c r="E474" s="28" t="n">
        <v>1230476.15</v>
      </c>
      <c r="F474" s="29" t="n">
        <v>0.1394</v>
      </c>
      <c r="G474" s="27" t="n">
        <v>48</v>
      </c>
      <c r="H474" s="28" t="n">
        <v>56994.86</v>
      </c>
      <c r="I474" s="30" t="n">
        <v>45463</v>
      </c>
      <c r="J474" s="30" t="n">
        <v>46903</v>
      </c>
      <c r="K474" s="27" t="s">
        <v>76</v>
      </c>
      <c r="L474" s="31" t="n">
        <v>0</v>
      </c>
      <c r="M474" s="25" t="s">
        <v>77</v>
      </c>
      <c r="N474" s="27" t="n">
        <v>724</v>
      </c>
    </row>
    <row r="475" customFormat="false" ht="15" hidden="false" customHeight="true" outlineLevel="0" collapsed="false">
      <c r="A475" s="19" t="s">
        <v>1031</v>
      </c>
      <c r="B475" s="19" t="s">
        <v>1032</v>
      </c>
      <c r="C475" s="20" t="s">
        <v>91</v>
      </c>
      <c r="D475" s="21" t="n">
        <v>3696000</v>
      </c>
      <c r="E475" s="21" t="n">
        <v>2724317.11</v>
      </c>
      <c r="F475" s="22" t="n">
        <v>0.2229</v>
      </c>
      <c r="G475" s="20" t="n">
        <v>120</v>
      </c>
      <c r="H475" s="21" t="n">
        <v>77126.27</v>
      </c>
      <c r="I475" s="23" t="n">
        <v>44274</v>
      </c>
      <c r="J475" s="23" t="n">
        <v>47874</v>
      </c>
      <c r="K475" s="20" t="s">
        <v>81</v>
      </c>
      <c r="L475" s="24" t="n">
        <v>0</v>
      </c>
      <c r="M475" s="25" t="s">
        <v>77</v>
      </c>
      <c r="N475" s="20" t="n">
        <v>627</v>
      </c>
    </row>
    <row r="476" customFormat="false" ht="15" hidden="false" customHeight="true" outlineLevel="0" collapsed="false">
      <c r="A476" s="26" t="s">
        <v>1033</v>
      </c>
      <c r="B476" s="26" t="s">
        <v>1034</v>
      </c>
      <c r="C476" s="27" t="s">
        <v>75</v>
      </c>
      <c r="D476" s="28" t="n">
        <v>4646000</v>
      </c>
      <c r="E476" s="28" t="n">
        <v>1763540.28</v>
      </c>
      <c r="F476" s="29" t="n">
        <v>0.1504</v>
      </c>
      <c r="G476" s="27" t="n">
        <v>120</v>
      </c>
      <c r="H476" s="28" t="n">
        <v>75070.07</v>
      </c>
      <c r="I476" s="30" t="n">
        <v>43393</v>
      </c>
      <c r="J476" s="30" t="n">
        <v>46993</v>
      </c>
      <c r="K476" s="27" t="s">
        <v>81</v>
      </c>
      <c r="L476" s="31" t="n">
        <v>0</v>
      </c>
      <c r="M476" s="25" t="s">
        <v>77</v>
      </c>
      <c r="N476" s="27" t="n">
        <v>588</v>
      </c>
    </row>
    <row r="477" customFormat="false" ht="15" hidden="false" customHeight="true" outlineLevel="0" collapsed="false">
      <c r="A477" s="19" t="s">
        <v>1035</v>
      </c>
      <c r="B477" s="19" t="s">
        <v>1036</v>
      </c>
      <c r="C477" s="20" t="s">
        <v>75</v>
      </c>
      <c r="D477" s="21" t="n">
        <v>2008000</v>
      </c>
      <c r="E477" s="21" t="n">
        <v>1606891.74</v>
      </c>
      <c r="F477" s="22" t="n">
        <v>0.2226</v>
      </c>
      <c r="G477" s="20" t="n">
        <v>84</v>
      </c>
      <c r="H477" s="21" t="n">
        <v>47362.2</v>
      </c>
      <c r="I477" s="23" t="n">
        <v>45234</v>
      </c>
      <c r="J477" s="23" t="n">
        <v>47754</v>
      </c>
      <c r="K477" s="20" t="s">
        <v>81</v>
      </c>
      <c r="L477" s="24" t="n">
        <v>0</v>
      </c>
      <c r="M477" s="25" t="s">
        <v>77</v>
      </c>
      <c r="N477" s="20" t="n">
        <v>643</v>
      </c>
    </row>
    <row r="478" customFormat="false" ht="15" hidden="false" customHeight="true" outlineLevel="0" collapsed="false">
      <c r="A478" s="26" t="s">
        <v>1037</v>
      </c>
      <c r="B478" s="26" t="s">
        <v>1038</v>
      </c>
      <c r="C478" s="27" t="s">
        <v>80</v>
      </c>
      <c r="D478" s="28" t="n">
        <v>1211000</v>
      </c>
      <c r="E478" s="28" t="n">
        <v>0</v>
      </c>
      <c r="F478" s="29" t="n">
        <v>0.124</v>
      </c>
      <c r="G478" s="27" t="n">
        <v>24</v>
      </c>
      <c r="H478" s="28" t="n">
        <v>57232.45</v>
      </c>
      <c r="I478" s="30" t="n">
        <v>43963</v>
      </c>
      <c r="J478" s="30" t="n">
        <v>44683</v>
      </c>
      <c r="K478" s="27" t="s">
        <v>81</v>
      </c>
      <c r="L478" s="31" t="n">
        <v>0</v>
      </c>
      <c r="M478" s="25" t="s">
        <v>77</v>
      </c>
      <c r="N478" s="27" t="n">
        <v>564</v>
      </c>
    </row>
    <row r="479" customFormat="false" ht="15" hidden="false" customHeight="true" outlineLevel="0" collapsed="false">
      <c r="A479" s="19" t="s">
        <v>1039</v>
      </c>
      <c r="B479" s="19" t="s">
        <v>1040</v>
      </c>
      <c r="C479" s="20" t="s">
        <v>91</v>
      </c>
      <c r="D479" s="21" t="n">
        <v>3837000</v>
      </c>
      <c r="E479" s="21" t="n">
        <v>0</v>
      </c>
      <c r="F479" s="22" t="n">
        <v>0.0979</v>
      </c>
      <c r="G479" s="20" t="n">
        <v>60</v>
      </c>
      <c r="H479" s="21" t="n">
        <v>81129.01</v>
      </c>
      <c r="I479" s="23" t="n">
        <v>43737</v>
      </c>
      <c r="J479" s="23" t="n">
        <v>45537</v>
      </c>
      <c r="K479" s="20" t="s">
        <v>81</v>
      </c>
      <c r="L479" s="24" t="n">
        <v>0</v>
      </c>
      <c r="M479" s="25" t="s">
        <v>77</v>
      </c>
      <c r="N479" s="20" t="n">
        <v>749</v>
      </c>
    </row>
    <row r="480" customFormat="false" ht="15" hidden="false" customHeight="true" outlineLevel="0" collapsed="false">
      <c r="A480" s="26" t="s">
        <v>1041</v>
      </c>
      <c r="B480" s="26" t="s">
        <v>1042</v>
      </c>
      <c r="C480" s="27" t="s">
        <v>80</v>
      </c>
      <c r="D480" s="28" t="n">
        <v>3701000</v>
      </c>
      <c r="E480" s="28" t="n">
        <v>0.06</v>
      </c>
      <c r="F480" s="29" t="n">
        <v>0.1537</v>
      </c>
      <c r="G480" s="27" t="n">
        <v>36</v>
      </c>
      <c r="H480" s="28" t="n">
        <v>128967.98</v>
      </c>
      <c r="I480" s="30" t="n">
        <v>43638</v>
      </c>
      <c r="J480" s="30" t="n">
        <v>44718</v>
      </c>
      <c r="K480" s="27" t="s">
        <v>76</v>
      </c>
      <c r="L480" s="31" t="n">
        <v>0</v>
      </c>
      <c r="M480" s="25" t="s">
        <v>77</v>
      </c>
      <c r="N480" s="27" t="n">
        <v>683</v>
      </c>
    </row>
    <row r="481" customFormat="false" ht="15" hidden="false" customHeight="true" outlineLevel="0" collapsed="false">
      <c r="A481" s="19" t="s">
        <v>1043</v>
      </c>
      <c r="B481" s="19" t="s">
        <v>1044</v>
      </c>
      <c r="C481" s="20" t="s">
        <v>91</v>
      </c>
      <c r="D481" s="21" t="n">
        <v>2363000</v>
      </c>
      <c r="E481" s="21" t="n">
        <v>1605216.37</v>
      </c>
      <c r="F481" s="22" t="n">
        <v>0.22</v>
      </c>
      <c r="G481" s="20" t="n">
        <v>60</v>
      </c>
      <c r="H481" s="21" t="n">
        <v>65263.49</v>
      </c>
      <c r="I481" s="23" t="n">
        <v>45347</v>
      </c>
      <c r="J481" s="23" t="n">
        <v>47147</v>
      </c>
      <c r="K481" s="20" t="s">
        <v>81</v>
      </c>
      <c r="L481" s="24" t="n">
        <v>0</v>
      </c>
      <c r="M481" s="33" t="s">
        <v>111</v>
      </c>
      <c r="N481" s="20" t="n">
        <v>807</v>
      </c>
    </row>
    <row r="482" customFormat="false" ht="15" hidden="false" customHeight="true" outlineLevel="0" collapsed="false">
      <c r="A482" s="26" t="s">
        <v>1045</v>
      </c>
      <c r="B482" s="26" t="s">
        <v>1046</v>
      </c>
      <c r="C482" s="27" t="s">
        <v>80</v>
      </c>
      <c r="D482" s="28" t="n">
        <v>3008000</v>
      </c>
      <c r="E482" s="28" t="n">
        <v>2671903.72</v>
      </c>
      <c r="F482" s="29" t="n">
        <v>0.1828</v>
      </c>
      <c r="G482" s="27" t="n">
        <v>120</v>
      </c>
      <c r="H482" s="28" t="n">
        <v>54743.11</v>
      </c>
      <c r="I482" s="30" t="n">
        <v>45245</v>
      </c>
      <c r="J482" s="30" t="n">
        <v>48845</v>
      </c>
      <c r="K482" s="27" t="s">
        <v>94</v>
      </c>
      <c r="L482" s="31" t="n">
        <v>0</v>
      </c>
      <c r="M482" s="25" t="s">
        <v>77</v>
      </c>
      <c r="N482" s="27" t="n">
        <v>588</v>
      </c>
    </row>
    <row r="483" customFormat="false" ht="15" hidden="false" customHeight="true" outlineLevel="0" collapsed="false">
      <c r="A483" s="19" t="s">
        <v>1047</v>
      </c>
      <c r="B483" s="19" t="s">
        <v>1048</v>
      </c>
      <c r="C483" s="20" t="s">
        <v>91</v>
      </c>
      <c r="D483" s="21" t="n">
        <v>1574000</v>
      </c>
      <c r="E483" s="21" t="n">
        <v>0</v>
      </c>
      <c r="F483" s="22" t="n">
        <v>0.1489</v>
      </c>
      <c r="G483" s="20" t="n">
        <v>36</v>
      </c>
      <c r="H483" s="21" t="n">
        <v>54478.48</v>
      </c>
      <c r="I483" s="23" t="n">
        <v>44344</v>
      </c>
      <c r="J483" s="23" t="n">
        <v>45424</v>
      </c>
      <c r="K483" s="20" t="s">
        <v>81</v>
      </c>
      <c r="L483" s="37" t="n">
        <v>1</v>
      </c>
      <c r="M483" s="36" t="s">
        <v>286</v>
      </c>
      <c r="N483" s="20" t="n">
        <v>674</v>
      </c>
    </row>
    <row r="484" customFormat="false" ht="15" hidden="false" customHeight="true" outlineLevel="0" collapsed="false">
      <c r="A484" s="26" t="s">
        <v>1049</v>
      </c>
      <c r="B484" s="26" t="s">
        <v>1050</v>
      </c>
      <c r="C484" s="27" t="s">
        <v>91</v>
      </c>
      <c r="D484" s="28" t="n">
        <v>2699000</v>
      </c>
      <c r="E484" s="28" t="n">
        <v>2571792.08</v>
      </c>
      <c r="F484" s="29" t="n">
        <v>0.1916</v>
      </c>
      <c r="G484" s="27" t="n">
        <v>180</v>
      </c>
      <c r="H484" s="28" t="n">
        <v>45736.18</v>
      </c>
      <c r="I484" s="30" t="n">
        <v>45055</v>
      </c>
      <c r="J484" s="30" t="n">
        <v>50455</v>
      </c>
      <c r="K484" s="27" t="s">
        <v>81</v>
      </c>
      <c r="L484" s="38" t="n">
        <v>1</v>
      </c>
      <c r="M484" s="32" t="s">
        <v>104</v>
      </c>
      <c r="N484" s="27" t="n">
        <v>704</v>
      </c>
    </row>
    <row r="485" customFormat="false" ht="15" hidden="false" customHeight="true" outlineLevel="0" collapsed="false">
      <c r="A485" s="19" t="s">
        <v>1051</v>
      </c>
      <c r="B485" s="19" t="s">
        <v>1052</v>
      </c>
      <c r="C485" s="20" t="s">
        <v>75</v>
      </c>
      <c r="D485" s="21" t="n">
        <v>983000</v>
      </c>
      <c r="E485" s="21" t="n">
        <v>809929.94</v>
      </c>
      <c r="F485" s="22" t="n">
        <v>0.2217</v>
      </c>
      <c r="G485" s="20" t="n">
        <v>120</v>
      </c>
      <c r="H485" s="21" t="n">
        <v>20432.2</v>
      </c>
      <c r="I485" s="23" t="n">
        <v>44717</v>
      </c>
      <c r="J485" s="23" t="n">
        <v>48317</v>
      </c>
      <c r="K485" s="20" t="s">
        <v>81</v>
      </c>
      <c r="L485" s="24" t="n">
        <v>0</v>
      </c>
      <c r="M485" s="25" t="s">
        <v>77</v>
      </c>
      <c r="N485" s="20" t="n">
        <v>699</v>
      </c>
    </row>
    <row r="486" customFormat="false" ht="15" hidden="false" customHeight="true" outlineLevel="0" collapsed="false">
      <c r="A486" s="26" t="s">
        <v>1053</v>
      </c>
      <c r="B486" s="26" t="s">
        <v>1054</v>
      </c>
      <c r="C486" s="27" t="s">
        <v>84</v>
      </c>
      <c r="D486" s="28" t="n">
        <v>1142000</v>
      </c>
      <c r="E486" s="28" t="n">
        <v>455890.72</v>
      </c>
      <c r="F486" s="29" t="n">
        <v>0.0973</v>
      </c>
      <c r="G486" s="27" t="n">
        <v>48</v>
      </c>
      <c r="H486" s="28" t="n">
        <v>28816.22</v>
      </c>
      <c r="I486" s="30" t="n">
        <v>45217</v>
      </c>
      <c r="J486" s="30" t="n">
        <v>46657</v>
      </c>
      <c r="K486" s="27" t="s">
        <v>76</v>
      </c>
      <c r="L486" s="31" t="n">
        <v>0</v>
      </c>
      <c r="M486" s="25" t="s">
        <v>77</v>
      </c>
      <c r="N486" s="27" t="n">
        <v>573</v>
      </c>
    </row>
    <row r="487" customFormat="false" ht="15" hidden="false" customHeight="true" outlineLevel="0" collapsed="false">
      <c r="A487" s="19" t="s">
        <v>1055</v>
      </c>
      <c r="B487" s="19" t="s">
        <v>1056</v>
      </c>
      <c r="C487" s="20" t="s">
        <v>75</v>
      </c>
      <c r="D487" s="21" t="n">
        <v>981000</v>
      </c>
      <c r="E487" s="21" t="n">
        <v>0</v>
      </c>
      <c r="F487" s="22" t="n">
        <v>0.0956</v>
      </c>
      <c r="G487" s="20" t="n">
        <v>36</v>
      </c>
      <c r="H487" s="21" t="n">
        <v>31451.85</v>
      </c>
      <c r="I487" s="23" t="n">
        <v>44287</v>
      </c>
      <c r="J487" s="23" t="n">
        <v>45367</v>
      </c>
      <c r="K487" s="20" t="s">
        <v>81</v>
      </c>
      <c r="L487" s="24" t="n">
        <v>0</v>
      </c>
      <c r="M487" s="25" t="s">
        <v>77</v>
      </c>
      <c r="N487" s="20" t="n">
        <v>607</v>
      </c>
    </row>
    <row r="488" customFormat="false" ht="15" hidden="false" customHeight="true" outlineLevel="0" collapsed="false">
      <c r="A488" s="26" t="s">
        <v>1057</v>
      </c>
      <c r="B488" s="26" t="s">
        <v>1058</v>
      </c>
      <c r="C488" s="27" t="s">
        <v>75</v>
      </c>
      <c r="D488" s="28" t="n">
        <v>2485000</v>
      </c>
      <c r="E488" s="28" t="n">
        <v>0</v>
      </c>
      <c r="F488" s="29" t="n">
        <v>0.1347</v>
      </c>
      <c r="G488" s="27" t="n">
        <v>36</v>
      </c>
      <c r="H488" s="28" t="n">
        <v>84293.14</v>
      </c>
      <c r="I488" s="30" t="n">
        <v>43304</v>
      </c>
      <c r="J488" s="30" t="n">
        <v>44384</v>
      </c>
      <c r="K488" s="27" t="s">
        <v>76</v>
      </c>
      <c r="L488" s="31" t="n">
        <v>0</v>
      </c>
      <c r="M488" s="35" t="s">
        <v>269</v>
      </c>
      <c r="N488" s="27" t="n">
        <v>657</v>
      </c>
    </row>
    <row r="489" customFormat="false" ht="15" hidden="false" customHeight="true" outlineLevel="0" collapsed="false">
      <c r="A489" s="19" t="s">
        <v>1059</v>
      </c>
      <c r="B489" s="19" t="s">
        <v>1060</v>
      </c>
      <c r="C489" s="20" t="s">
        <v>91</v>
      </c>
      <c r="D489" s="21" t="n">
        <v>1202000</v>
      </c>
      <c r="E489" s="21" t="n">
        <v>931475.61</v>
      </c>
      <c r="F489" s="22" t="n">
        <v>0.1084</v>
      </c>
      <c r="G489" s="20" t="n">
        <v>180</v>
      </c>
      <c r="H489" s="21" t="n">
        <v>13541.37</v>
      </c>
      <c r="I489" s="23" t="n">
        <v>43990</v>
      </c>
      <c r="J489" s="23" t="n">
        <v>49390</v>
      </c>
      <c r="K489" s="20" t="s">
        <v>81</v>
      </c>
      <c r="L489" s="24" t="n">
        <v>0</v>
      </c>
      <c r="M489" s="25" t="s">
        <v>77</v>
      </c>
      <c r="N489" s="20" t="n">
        <v>642</v>
      </c>
    </row>
    <row r="490" customFormat="false" ht="15" hidden="false" customHeight="true" outlineLevel="0" collapsed="false">
      <c r="A490" s="26" t="s">
        <v>1061</v>
      </c>
      <c r="B490" s="26" t="s">
        <v>1062</v>
      </c>
      <c r="C490" s="27" t="s">
        <v>99</v>
      </c>
      <c r="D490" s="28" t="n">
        <v>2345000</v>
      </c>
      <c r="E490" s="28" t="n">
        <v>0</v>
      </c>
      <c r="F490" s="29" t="n">
        <v>0.2077</v>
      </c>
      <c r="G490" s="27" t="n">
        <v>84</v>
      </c>
      <c r="H490" s="28" t="n">
        <v>53166.2</v>
      </c>
      <c r="I490" s="30" t="n">
        <v>43429</v>
      </c>
      <c r="J490" s="30" t="n">
        <v>45949</v>
      </c>
      <c r="K490" s="27" t="s">
        <v>81</v>
      </c>
      <c r="L490" s="38" t="n">
        <v>1</v>
      </c>
      <c r="M490" s="32" t="s">
        <v>104</v>
      </c>
      <c r="N490" s="27" t="n">
        <v>544</v>
      </c>
    </row>
    <row r="491" customFormat="false" ht="15" hidden="false" customHeight="true" outlineLevel="0" collapsed="false">
      <c r="A491" s="19" t="s">
        <v>1063</v>
      </c>
      <c r="B491" s="19" t="s">
        <v>1064</v>
      </c>
      <c r="C491" s="20" t="s">
        <v>91</v>
      </c>
      <c r="D491" s="21" t="n">
        <v>1288000</v>
      </c>
      <c r="E491" s="21" t="n">
        <v>0</v>
      </c>
      <c r="F491" s="22" t="n">
        <v>0.1441</v>
      </c>
      <c r="G491" s="20" t="n">
        <v>12</v>
      </c>
      <c r="H491" s="21" t="n">
        <v>115894.43</v>
      </c>
      <c r="I491" s="23" t="n">
        <v>43600</v>
      </c>
      <c r="J491" s="23" t="n">
        <v>43960</v>
      </c>
      <c r="K491" s="20" t="s">
        <v>94</v>
      </c>
      <c r="L491" s="24" t="n">
        <v>0</v>
      </c>
      <c r="M491" s="25" t="s">
        <v>77</v>
      </c>
      <c r="N491" s="20" t="n">
        <v>740</v>
      </c>
    </row>
    <row r="492" customFormat="false" ht="15" hidden="false" customHeight="true" outlineLevel="0" collapsed="false">
      <c r="A492" s="26" t="s">
        <v>1065</v>
      </c>
      <c r="B492" s="26" t="s">
        <v>1066</v>
      </c>
      <c r="C492" s="27" t="s">
        <v>80</v>
      </c>
      <c r="D492" s="28" t="n">
        <v>4973000</v>
      </c>
      <c r="E492" s="28" t="n">
        <v>0</v>
      </c>
      <c r="F492" s="29" t="n">
        <v>0.1159</v>
      </c>
      <c r="G492" s="27" t="n">
        <v>24</v>
      </c>
      <c r="H492" s="28" t="n">
        <v>233145.35</v>
      </c>
      <c r="I492" s="30" t="n">
        <v>45235</v>
      </c>
      <c r="J492" s="30" t="n">
        <v>45955</v>
      </c>
      <c r="K492" s="27" t="s">
        <v>94</v>
      </c>
      <c r="L492" s="31" t="n">
        <v>0</v>
      </c>
      <c r="M492" s="25" t="s">
        <v>77</v>
      </c>
      <c r="N492" s="27" t="n">
        <v>824</v>
      </c>
    </row>
    <row r="493" customFormat="false" ht="15" hidden="false" customHeight="true" outlineLevel="0" collapsed="false">
      <c r="A493" s="19" t="s">
        <v>1067</v>
      </c>
      <c r="B493" s="19" t="s">
        <v>1068</v>
      </c>
      <c r="C493" s="20" t="s">
        <v>99</v>
      </c>
      <c r="D493" s="21" t="n">
        <v>3655000</v>
      </c>
      <c r="E493" s="21" t="n">
        <v>3609977.23</v>
      </c>
      <c r="F493" s="22" t="n">
        <v>0.2004</v>
      </c>
      <c r="G493" s="20" t="n">
        <v>240</v>
      </c>
      <c r="H493" s="21" t="n">
        <v>62206.82</v>
      </c>
      <c r="I493" s="23" t="n">
        <v>45234</v>
      </c>
      <c r="J493" s="23" t="n">
        <v>52434</v>
      </c>
      <c r="K493" s="20" t="s">
        <v>81</v>
      </c>
      <c r="L493" s="24" t="n">
        <v>0</v>
      </c>
      <c r="M493" s="25" t="s">
        <v>77</v>
      </c>
      <c r="N493" s="20" t="n">
        <v>713</v>
      </c>
    </row>
    <row r="494" customFormat="false" ht="15" hidden="false" customHeight="true" outlineLevel="0" collapsed="false">
      <c r="A494" s="26" t="s">
        <v>1069</v>
      </c>
      <c r="B494" s="26" t="s">
        <v>1070</v>
      </c>
      <c r="C494" s="27" t="s">
        <v>91</v>
      </c>
      <c r="D494" s="28" t="n">
        <v>308000</v>
      </c>
      <c r="E494" s="28" t="n">
        <v>0</v>
      </c>
      <c r="F494" s="29" t="n">
        <v>0.1883</v>
      </c>
      <c r="G494" s="27" t="n">
        <v>24</v>
      </c>
      <c r="H494" s="28" t="n">
        <v>15500.43</v>
      </c>
      <c r="I494" s="30" t="n">
        <v>44067</v>
      </c>
      <c r="J494" s="30" t="n">
        <v>44787</v>
      </c>
      <c r="K494" s="27" t="s">
        <v>94</v>
      </c>
      <c r="L494" s="31" t="n">
        <v>0</v>
      </c>
      <c r="M494" s="25" t="s">
        <v>77</v>
      </c>
      <c r="N494" s="27" t="n">
        <v>651</v>
      </c>
    </row>
    <row r="495" customFormat="false" ht="15" hidden="false" customHeight="true" outlineLevel="0" collapsed="false">
      <c r="A495" s="19" t="s">
        <v>1071</v>
      </c>
      <c r="B495" s="19" t="s">
        <v>1072</v>
      </c>
      <c r="C495" s="20" t="s">
        <v>75</v>
      </c>
      <c r="D495" s="21" t="n">
        <v>4846000</v>
      </c>
      <c r="E495" s="21" t="n">
        <v>4002779.87</v>
      </c>
      <c r="F495" s="22" t="n">
        <v>0.1751</v>
      </c>
      <c r="G495" s="20" t="n">
        <v>180</v>
      </c>
      <c r="H495" s="21" t="n">
        <v>76338.67</v>
      </c>
      <c r="I495" s="23" t="n">
        <v>43735</v>
      </c>
      <c r="J495" s="23" t="n">
        <v>49135</v>
      </c>
      <c r="K495" s="20" t="s">
        <v>81</v>
      </c>
      <c r="L495" s="24" t="n">
        <v>0</v>
      </c>
      <c r="M495" s="25" t="s">
        <v>77</v>
      </c>
      <c r="N495" s="20" t="n">
        <v>622</v>
      </c>
    </row>
    <row r="496" customFormat="false" ht="15" hidden="false" customHeight="true" outlineLevel="0" collapsed="false">
      <c r="A496" s="26" t="s">
        <v>1073</v>
      </c>
      <c r="B496" s="26" t="s">
        <v>1074</v>
      </c>
      <c r="C496" s="27" t="s">
        <v>80</v>
      </c>
      <c r="D496" s="28" t="n">
        <v>3112000</v>
      </c>
      <c r="E496" s="28" t="n">
        <v>0.01</v>
      </c>
      <c r="F496" s="29" t="n">
        <v>0.2293</v>
      </c>
      <c r="G496" s="27" t="n">
        <v>12</v>
      </c>
      <c r="H496" s="28" t="n">
        <v>292660.39</v>
      </c>
      <c r="I496" s="30" t="n">
        <v>43345</v>
      </c>
      <c r="J496" s="30" t="n">
        <v>43705</v>
      </c>
      <c r="K496" s="27" t="s">
        <v>81</v>
      </c>
      <c r="L496" s="31" t="n">
        <v>0</v>
      </c>
      <c r="M496" s="25" t="s">
        <v>77</v>
      </c>
      <c r="N496" s="27" t="n">
        <v>706</v>
      </c>
    </row>
    <row r="497" customFormat="false" ht="15" hidden="false" customHeight="true" outlineLevel="0" collapsed="false">
      <c r="A497" s="19" t="s">
        <v>1075</v>
      </c>
      <c r="B497" s="19" t="s">
        <v>1076</v>
      </c>
      <c r="C497" s="20" t="s">
        <v>80</v>
      </c>
      <c r="D497" s="21" t="n">
        <v>3953000</v>
      </c>
      <c r="E497" s="21" t="n">
        <v>3439419.53</v>
      </c>
      <c r="F497" s="22" t="n">
        <v>0.2023</v>
      </c>
      <c r="G497" s="20" t="n">
        <v>180</v>
      </c>
      <c r="H497" s="21" t="n">
        <v>70099.04</v>
      </c>
      <c r="I497" s="23" t="n">
        <v>43891</v>
      </c>
      <c r="J497" s="23" t="n">
        <v>49291</v>
      </c>
      <c r="K497" s="20" t="s">
        <v>81</v>
      </c>
      <c r="L497" s="24" t="n">
        <v>0</v>
      </c>
      <c r="M497" s="25" t="s">
        <v>77</v>
      </c>
      <c r="N497" s="20" t="n">
        <v>694</v>
      </c>
    </row>
    <row r="498" customFormat="false" ht="15" hidden="false" customHeight="true" outlineLevel="0" collapsed="false">
      <c r="A498" s="26" t="s">
        <v>1077</v>
      </c>
      <c r="B498" s="26" t="s">
        <v>1078</v>
      </c>
      <c r="C498" s="27" t="s">
        <v>91</v>
      </c>
      <c r="D498" s="28" t="n">
        <v>245000</v>
      </c>
      <c r="E498" s="28" t="n">
        <v>236201.88</v>
      </c>
      <c r="F498" s="29" t="n">
        <v>0.1945</v>
      </c>
      <c r="G498" s="27" t="n">
        <v>240</v>
      </c>
      <c r="H498" s="28" t="n">
        <v>4056.61</v>
      </c>
      <c r="I498" s="30" t="n">
        <v>44308</v>
      </c>
      <c r="J498" s="30" t="n">
        <v>51508</v>
      </c>
      <c r="K498" s="27" t="s">
        <v>76</v>
      </c>
      <c r="L498" s="31" t="n">
        <v>0</v>
      </c>
      <c r="M498" s="25" t="s">
        <v>77</v>
      </c>
      <c r="N498" s="27" t="n">
        <v>850</v>
      </c>
    </row>
    <row r="499" customFormat="false" ht="15" hidden="false" customHeight="true" outlineLevel="0" collapsed="false">
      <c r="A499" s="19" t="s">
        <v>1079</v>
      </c>
      <c r="B499" s="19" t="s">
        <v>1080</v>
      </c>
      <c r="C499" s="20" t="s">
        <v>91</v>
      </c>
      <c r="D499" s="21" t="n">
        <v>4345000</v>
      </c>
      <c r="E499" s="21" t="n">
        <v>4050691.58</v>
      </c>
      <c r="F499" s="22" t="n">
        <v>0.1778</v>
      </c>
      <c r="G499" s="20" t="n">
        <v>240</v>
      </c>
      <c r="H499" s="21" t="n">
        <v>66322.15</v>
      </c>
      <c r="I499" s="23" t="n">
        <v>43757</v>
      </c>
      <c r="J499" s="23" t="n">
        <v>50957</v>
      </c>
      <c r="K499" s="20" t="s">
        <v>81</v>
      </c>
      <c r="L499" s="24" t="n">
        <v>0</v>
      </c>
      <c r="M499" s="25" t="s">
        <v>77</v>
      </c>
      <c r="N499" s="20" t="n">
        <v>629</v>
      </c>
    </row>
    <row r="500" customFormat="false" ht="15" hidden="false" customHeight="true" outlineLevel="0" collapsed="false">
      <c r="A500" s="26" t="s">
        <v>1081</v>
      </c>
      <c r="B500" s="26" t="s">
        <v>1082</v>
      </c>
      <c r="C500" s="27" t="s">
        <v>91</v>
      </c>
      <c r="D500" s="28" t="n">
        <v>2298000</v>
      </c>
      <c r="E500" s="28" t="n">
        <v>2244752.22</v>
      </c>
      <c r="F500" s="29" t="n">
        <v>0.2053</v>
      </c>
      <c r="G500" s="27" t="n">
        <v>240</v>
      </c>
      <c r="H500" s="28" t="n">
        <v>39997.13</v>
      </c>
      <c r="I500" s="30" t="n">
        <v>44653</v>
      </c>
      <c r="J500" s="30" t="n">
        <v>51853</v>
      </c>
      <c r="K500" s="27" t="s">
        <v>94</v>
      </c>
      <c r="L500" s="31" t="n">
        <v>0</v>
      </c>
      <c r="M500" s="25" t="s">
        <v>77</v>
      </c>
      <c r="N500" s="27" t="n">
        <v>750</v>
      </c>
    </row>
    <row r="501" customFormat="false" ht="15" hidden="false" customHeight="true" outlineLevel="0" collapsed="false">
      <c r="A501" s="19" t="s">
        <v>1083</v>
      </c>
      <c r="B501" s="19" t="s">
        <v>1084</v>
      </c>
      <c r="C501" s="20" t="s">
        <v>84</v>
      </c>
      <c r="D501" s="21" t="n">
        <v>3309000</v>
      </c>
      <c r="E501" s="21" t="n">
        <v>1867867.22</v>
      </c>
      <c r="F501" s="22" t="n">
        <v>0.1685</v>
      </c>
      <c r="G501" s="20" t="n">
        <v>120</v>
      </c>
      <c r="H501" s="21" t="n">
        <v>57195.51</v>
      </c>
      <c r="I501" s="23" t="n">
        <v>43878</v>
      </c>
      <c r="J501" s="23" t="n">
        <v>47478</v>
      </c>
      <c r="K501" s="20" t="s">
        <v>76</v>
      </c>
      <c r="L501" s="24" t="n">
        <v>0</v>
      </c>
      <c r="M501" s="25" t="s">
        <v>77</v>
      </c>
      <c r="N501" s="20" t="n">
        <v>678</v>
      </c>
    </row>
    <row r="502" customFormat="false" ht="15" hidden="false" customHeight="true" outlineLevel="0" collapsed="false">
      <c r="A502" s="26" t="s">
        <v>1085</v>
      </c>
      <c r="B502" s="26" t="s">
        <v>1086</v>
      </c>
      <c r="C502" s="27" t="s">
        <v>75</v>
      </c>
      <c r="D502" s="28" t="n">
        <v>1647000</v>
      </c>
      <c r="E502" s="28" t="n">
        <v>0.14</v>
      </c>
      <c r="F502" s="29" t="n">
        <v>0.1843</v>
      </c>
      <c r="G502" s="27" t="n">
        <v>24</v>
      </c>
      <c r="H502" s="28" t="n">
        <v>82567.59</v>
      </c>
      <c r="I502" s="30" t="n">
        <v>43495</v>
      </c>
      <c r="J502" s="30" t="n">
        <v>44215</v>
      </c>
      <c r="K502" s="27" t="s">
        <v>76</v>
      </c>
      <c r="L502" s="31" t="n">
        <v>0</v>
      </c>
      <c r="M502" s="25" t="s">
        <v>77</v>
      </c>
      <c r="N502" s="27" t="n">
        <v>797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8" t="s">
        <v>1087</v>
      </c>
      <c r="B1" s="18"/>
      <c r="C1" s="18"/>
      <c r="D1" s="18"/>
      <c r="E1" s="18"/>
      <c r="F1" s="18"/>
      <c r="G1" s="18"/>
      <c r="H1" s="18"/>
      <c r="I1" s="18"/>
      <c r="J1" s="18"/>
    </row>
    <row r="2" customFormat="false" ht="24" hidden="false" customHeight="true" outlineLevel="0" collapsed="false">
      <c r="A2" s="39" t="s">
        <v>1088</v>
      </c>
      <c r="B2" s="39" t="s">
        <v>1089</v>
      </c>
      <c r="C2" s="39" t="s">
        <v>1090</v>
      </c>
      <c r="D2" s="39" t="s">
        <v>1091</v>
      </c>
      <c r="E2" s="39" t="s">
        <v>13</v>
      </c>
      <c r="F2" s="39" t="s">
        <v>18</v>
      </c>
      <c r="G2" s="39" t="s">
        <v>26</v>
      </c>
      <c r="H2" s="39" t="s">
        <v>1092</v>
      </c>
      <c r="I2" s="39" t="s">
        <v>1093</v>
      </c>
      <c r="J2" s="39" t="s">
        <v>1094</v>
      </c>
    </row>
    <row r="3" customFormat="false" ht="18" hidden="false" customHeight="true" outlineLevel="0" collapsed="false">
      <c r="A3" s="13" t="s">
        <v>1095</v>
      </c>
      <c r="B3" s="17" t="n">
        <v>7820</v>
      </c>
      <c r="C3" s="17" t="n">
        <v>532</v>
      </c>
      <c r="D3" s="17" t="n">
        <v>310</v>
      </c>
      <c r="E3" s="11" t="n">
        <f aca="false">C3/B3</f>
        <v>0.0680306905370844</v>
      </c>
      <c r="F3" s="11" t="n">
        <f aca="false">(C3-D3)/(B3-D3)</f>
        <v>0.029560585885486</v>
      </c>
      <c r="G3" s="11" t="n">
        <v>0.102</v>
      </c>
      <c r="H3" s="11" t="n">
        <f aca="false">D3/C3</f>
        <v>0.582706766917293</v>
      </c>
      <c r="I3" s="11" t="s">
        <v>1096</v>
      </c>
      <c r="J3" s="13" t="s">
        <v>1096</v>
      </c>
    </row>
    <row r="4" customFormat="false" ht="18" hidden="false" customHeight="true" outlineLevel="0" collapsed="false">
      <c r="A4" s="8" t="s">
        <v>1097</v>
      </c>
      <c r="B4" s="16" t="n">
        <v>7880</v>
      </c>
      <c r="C4" s="16" t="n">
        <v>544</v>
      </c>
      <c r="D4" s="16" t="n">
        <v>319</v>
      </c>
      <c r="E4" s="6" t="n">
        <f aca="false">C4/B4</f>
        <v>0.0690355329949239</v>
      </c>
      <c r="F4" s="6" t="n">
        <f aca="false">(C4-D4)/(B4-D4)</f>
        <v>0.0297579685226822</v>
      </c>
      <c r="G4" s="6" t="n">
        <v>0.103</v>
      </c>
      <c r="H4" s="6" t="n">
        <f aca="false">D4/C4</f>
        <v>0.586397058823529</v>
      </c>
      <c r="I4" s="6" t="n">
        <f aca="false">E4-E3</f>
        <v>0.00100484245783947</v>
      </c>
      <c r="J4" s="8" t="s">
        <v>1096</v>
      </c>
    </row>
    <row r="5" customFormat="false" ht="18" hidden="false" customHeight="true" outlineLevel="0" collapsed="false">
      <c r="A5" s="13" t="s">
        <v>1098</v>
      </c>
      <c r="B5" s="17" t="n">
        <v>7940</v>
      </c>
      <c r="C5" s="17" t="n">
        <v>556</v>
      </c>
      <c r="D5" s="17" t="n">
        <v>328</v>
      </c>
      <c r="E5" s="11" t="n">
        <f aca="false">C5/B5</f>
        <v>0.0700251889168766</v>
      </c>
      <c r="F5" s="11" t="n">
        <f aca="false">(C5-D5)/(B5-D5)</f>
        <v>0.0299527062532843</v>
      </c>
      <c r="G5" s="11" t="n">
        <v>0.104</v>
      </c>
      <c r="H5" s="11" t="n">
        <f aca="false">D5/C5</f>
        <v>0.589928057553957</v>
      </c>
      <c r="I5" s="11" t="n">
        <f aca="false">E5-E4</f>
        <v>0.000989655921952715</v>
      </c>
      <c r="J5" s="13" t="s">
        <v>1096</v>
      </c>
    </row>
    <row r="6" customFormat="false" ht="18" hidden="false" customHeight="true" outlineLevel="0" collapsed="false">
      <c r="A6" s="8" t="s">
        <v>1099</v>
      </c>
      <c r="B6" s="16" t="n">
        <v>7990</v>
      </c>
      <c r="C6" s="16" t="n">
        <v>567</v>
      </c>
      <c r="D6" s="16" t="n">
        <v>336</v>
      </c>
      <c r="E6" s="6" t="n">
        <f aca="false">C6/B6</f>
        <v>0.0709637046307885</v>
      </c>
      <c r="F6" s="6" t="n">
        <f aca="false">(C6-D6)/(B6-D6)</f>
        <v>0.0301802978834596</v>
      </c>
      <c r="G6" s="6" t="n">
        <v>0.105</v>
      </c>
      <c r="H6" s="6" t="n">
        <f aca="false">D6/C6</f>
        <v>0.592592592592593</v>
      </c>
      <c r="I6" s="6" t="n">
        <f aca="false">E6-E5</f>
        <v>0.000938515713911903</v>
      </c>
      <c r="J6" s="8" t="s">
        <v>1096</v>
      </c>
    </row>
    <row r="7" customFormat="false" ht="18" hidden="false" customHeight="true" outlineLevel="0" collapsed="false">
      <c r="A7" s="13" t="s">
        <v>1100</v>
      </c>
      <c r="B7" s="17" t="n">
        <v>8050</v>
      </c>
      <c r="C7" s="17" t="n">
        <v>580</v>
      </c>
      <c r="D7" s="17" t="n">
        <v>346</v>
      </c>
      <c r="E7" s="11" t="n">
        <f aca="false">C7/B7</f>
        <v>0.0720496894409938</v>
      </c>
      <c r="F7" s="11" t="n">
        <f aca="false">(C7-D7)/(B7-D7)</f>
        <v>0.0303738317757009</v>
      </c>
      <c r="G7" s="11" t="n">
        <v>0.106</v>
      </c>
      <c r="H7" s="11" t="n">
        <f aca="false">D7/C7</f>
        <v>0.596551724137931</v>
      </c>
      <c r="I7" s="11" t="n">
        <f aca="false">E7-E6</f>
        <v>0.0010859848102053</v>
      </c>
      <c r="J7" s="13" t="s">
        <v>1096</v>
      </c>
    </row>
    <row r="8" customFormat="false" ht="18" hidden="false" customHeight="true" outlineLevel="0" collapsed="false">
      <c r="A8" s="8" t="s">
        <v>1101</v>
      </c>
      <c r="B8" s="16" t="n">
        <v>8100</v>
      </c>
      <c r="C8" s="16" t="n">
        <v>591</v>
      </c>
      <c r="D8" s="16" t="n">
        <v>358</v>
      </c>
      <c r="E8" s="6" t="n">
        <f aca="false">C8/B8</f>
        <v>0.072962962962963</v>
      </c>
      <c r="F8" s="6" t="n">
        <f aca="false">(C8-D8)/(B8-D8)</f>
        <v>0.0300955825368122</v>
      </c>
      <c r="G8" s="6" t="n">
        <v>0.107</v>
      </c>
      <c r="H8" s="6" t="n">
        <f aca="false">D8/C8</f>
        <v>0.60575296108291</v>
      </c>
      <c r="I8" s="6" t="n">
        <f aca="false">E8-E7</f>
        <v>0.000913273521969182</v>
      </c>
      <c r="J8" s="8" t="s">
        <v>1096</v>
      </c>
    </row>
    <row r="9" customFormat="false" ht="18" hidden="false" customHeight="true" outlineLevel="0" collapsed="false">
      <c r="A9" s="13" t="s">
        <v>1102</v>
      </c>
      <c r="B9" s="17" t="n">
        <v>8180</v>
      </c>
      <c r="C9" s="17" t="n">
        <v>606</v>
      </c>
      <c r="D9" s="17" t="n">
        <v>370</v>
      </c>
      <c r="E9" s="11" t="n">
        <f aca="false">C9/B9</f>
        <v>0.0740831295843521</v>
      </c>
      <c r="F9" s="11" t="n">
        <f aca="false">(C9-D9)/(B9-D9)</f>
        <v>0.0302176696542894</v>
      </c>
      <c r="G9" s="11" t="n">
        <v>0.108</v>
      </c>
      <c r="H9" s="11" t="n">
        <f aca="false">D9/C9</f>
        <v>0.610561056105611</v>
      </c>
      <c r="I9" s="11" t="n">
        <f aca="false">E9-E8</f>
        <v>0.00112016662138911</v>
      </c>
      <c r="J9" s="13" t="s">
        <v>1096</v>
      </c>
    </row>
    <row r="10" customFormat="false" ht="18" hidden="false" customHeight="true" outlineLevel="0" collapsed="false">
      <c r="A10" s="8" t="s">
        <v>1103</v>
      </c>
      <c r="B10" s="16" t="n">
        <v>8200</v>
      </c>
      <c r="C10" s="16" t="n">
        <v>615</v>
      </c>
      <c r="D10" s="16" t="n">
        <v>376</v>
      </c>
      <c r="E10" s="6" t="n">
        <f aca="false">C10/B10</f>
        <v>0.075</v>
      </c>
      <c r="F10" s="6" t="n">
        <f aca="false">(C10-D10)/(B10-D10)</f>
        <v>0.0305470347648262</v>
      </c>
      <c r="G10" s="6" t="n">
        <v>0.109</v>
      </c>
      <c r="H10" s="6" t="n">
        <f aca="false">D10/C10</f>
        <v>0.611382113821138</v>
      </c>
      <c r="I10" s="6" t="n">
        <f aca="false">E10-E9</f>
        <v>0.000916870415647919</v>
      </c>
      <c r="J10" s="8" t="s">
        <v>1096</v>
      </c>
    </row>
    <row r="11" customFormat="false" ht="18" hidden="false" customHeight="true" outlineLevel="0" collapsed="false">
      <c r="A11" s="13" t="s">
        <v>1104</v>
      </c>
      <c r="B11" s="17" t="n">
        <v>8220</v>
      </c>
      <c r="C11" s="17" t="n">
        <v>624</v>
      </c>
      <c r="D11" s="17" t="n">
        <v>382</v>
      </c>
      <c r="E11" s="11" t="n">
        <f aca="false">C11/B11</f>
        <v>0.0759124087591241</v>
      </c>
      <c r="F11" s="11" t="n">
        <f aca="false">(C11-D11)/(B11-D11)</f>
        <v>0.0308752232712427</v>
      </c>
      <c r="G11" s="11" t="n">
        <v>0.11</v>
      </c>
      <c r="H11" s="11" t="n">
        <f aca="false">D11/C11</f>
        <v>0.612179487179487</v>
      </c>
      <c r="I11" s="11" t="n">
        <f aca="false">E11-E10</f>
        <v>0.000912408759124087</v>
      </c>
      <c r="J11" s="13" t="s">
        <v>1096</v>
      </c>
    </row>
    <row r="12" customFormat="false" ht="18" hidden="false" customHeight="true" outlineLevel="0" collapsed="false">
      <c r="A12" s="8" t="s">
        <v>1105</v>
      </c>
      <c r="B12" s="16" t="n">
        <v>8240</v>
      </c>
      <c r="C12" s="16" t="n">
        <v>633</v>
      </c>
      <c r="D12" s="16" t="n">
        <v>387</v>
      </c>
      <c r="E12" s="6" t="n">
        <f aca="false">C12/B12</f>
        <v>0.0768203883495146</v>
      </c>
      <c r="F12" s="6" t="n">
        <f aca="false">(C12-D12)/(B12-D12)</f>
        <v>0.0313256080478798</v>
      </c>
      <c r="G12" s="6" t="n">
        <v>0.111</v>
      </c>
      <c r="H12" s="6" t="n">
        <f aca="false">D12/C12</f>
        <v>0.611374407582938</v>
      </c>
      <c r="I12" s="6" t="n">
        <f aca="false">E12-E11</f>
        <v>0.000907979590390476</v>
      </c>
      <c r="J12" s="8" t="s">
        <v>1096</v>
      </c>
    </row>
    <row r="13" customFormat="false" ht="18" hidden="false" customHeight="true" outlineLevel="0" collapsed="false">
      <c r="A13" s="13" t="s">
        <v>1106</v>
      </c>
      <c r="B13" s="17" t="n">
        <v>8260</v>
      </c>
      <c r="C13" s="17" t="n">
        <v>644</v>
      </c>
      <c r="D13" s="17" t="n">
        <v>393</v>
      </c>
      <c r="E13" s="11" t="n">
        <f aca="false">C13/B13</f>
        <v>0.0779661016949153</v>
      </c>
      <c r="F13" s="11" t="n">
        <f aca="false">(C13-D13)/(B13-D13)</f>
        <v>0.0319054277361129</v>
      </c>
      <c r="G13" s="11" t="n">
        <v>0.112</v>
      </c>
      <c r="H13" s="11" t="n">
        <f aca="false">D13/C13</f>
        <v>0.610248447204969</v>
      </c>
      <c r="I13" s="11" t="n">
        <f aca="false">E13-E12</f>
        <v>0.0011457133454007</v>
      </c>
      <c r="J13" s="13" t="s">
        <v>1096</v>
      </c>
    </row>
    <row r="14" customFormat="false" ht="18" hidden="false" customHeight="true" outlineLevel="0" collapsed="false">
      <c r="A14" s="8" t="s">
        <v>1107</v>
      </c>
      <c r="B14" s="16" t="n">
        <v>8240</v>
      </c>
      <c r="C14" s="16" t="n">
        <v>646</v>
      </c>
      <c r="D14" s="16" t="n">
        <v>382</v>
      </c>
      <c r="E14" s="6" t="n">
        <f aca="false">C14/B14</f>
        <v>0.0783980582524272</v>
      </c>
      <c r="F14" s="6" t="n">
        <f aca="false">(C14-D14)/(B14-D14)</f>
        <v>0.0335963349452787</v>
      </c>
      <c r="G14" s="6" t="n">
        <v>0.113</v>
      </c>
      <c r="H14" s="6" t="n">
        <f aca="false">D14/C14</f>
        <v>0.591331269349845</v>
      </c>
      <c r="I14" s="6" t="n">
        <f aca="false">E14-E13</f>
        <v>0.000431956557511923</v>
      </c>
      <c r="J14" s="8" t="s">
        <v>1096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2"/>
    <col collapsed="false" customWidth="true" hidden="false" outlineLevel="0" max="7" min="5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8" t="s">
        <v>1108</v>
      </c>
      <c r="B1" s="18"/>
      <c r="C1" s="18"/>
      <c r="D1" s="18"/>
      <c r="E1" s="18"/>
      <c r="F1" s="18"/>
      <c r="G1" s="18"/>
      <c r="H1" s="18"/>
    </row>
    <row r="3" customFormat="false" ht="18" hidden="false" customHeight="true" outlineLevel="0" collapsed="false">
      <c r="A3" s="3" t="s">
        <v>1109</v>
      </c>
      <c r="B3" s="3"/>
      <c r="C3" s="3"/>
      <c r="D3" s="3"/>
      <c r="E3" s="3"/>
      <c r="F3" s="3"/>
      <c r="G3" s="3"/>
      <c r="H3" s="3"/>
    </row>
    <row r="4" customFormat="false" ht="21.75" hidden="false" customHeight="true" outlineLevel="0" collapsed="false">
      <c r="A4" s="4" t="s">
        <v>71</v>
      </c>
      <c r="B4" s="4" t="s">
        <v>11</v>
      </c>
      <c r="C4" s="4" t="s">
        <v>1110</v>
      </c>
      <c r="D4" s="4" t="s">
        <v>1111</v>
      </c>
      <c r="E4" s="4" t="s">
        <v>1112</v>
      </c>
      <c r="F4" s="4" t="s">
        <v>1113</v>
      </c>
      <c r="G4" s="4" t="s">
        <v>1114</v>
      </c>
      <c r="H4" s="4" t="s">
        <v>1115</v>
      </c>
    </row>
    <row r="5" customFormat="false" ht="18" hidden="false" customHeight="true" outlineLevel="0" collapsed="false">
      <c r="A5" s="40" t="s">
        <v>77</v>
      </c>
      <c r="B5" s="41" t="s">
        <v>1116</v>
      </c>
      <c r="C5" s="42" t="n">
        <v>67904</v>
      </c>
      <c r="D5" s="43" t="n">
        <f aca="false">C5/94312</f>
        <v>0.719993214013063</v>
      </c>
      <c r="E5" s="42" t="n">
        <v>5933</v>
      </c>
      <c r="F5" s="43" t="n">
        <f aca="false">E5/8240</f>
        <v>0.72002427184466</v>
      </c>
      <c r="G5" s="44" t="n">
        <v>0.004</v>
      </c>
      <c r="H5" s="45" t="n">
        <f aca="false">E5*G5</f>
        <v>23.732</v>
      </c>
    </row>
    <row r="6" customFormat="false" ht="18" hidden="false" customHeight="true" outlineLevel="0" collapsed="false">
      <c r="A6" s="46" t="s">
        <v>1117</v>
      </c>
      <c r="B6" s="47" t="s">
        <v>1118</v>
      </c>
      <c r="C6" s="48" t="n">
        <v>9431</v>
      </c>
      <c r="D6" s="49" t="n">
        <f aca="false">C6/94312</f>
        <v>0.0999978793790822</v>
      </c>
      <c r="E6" s="48" t="n">
        <v>824</v>
      </c>
      <c r="F6" s="49" t="n">
        <f aca="false">E6/8240</f>
        <v>0.1</v>
      </c>
      <c r="G6" s="50" t="n">
        <v>0.01</v>
      </c>
      <c r="H6" s="51" t="n">
        <f aca="false">E6*G6</f>
        <v>8.24</v>
      </c>
    </row>
    <row r="7" customFormat="false" ht="18" hidden="false" customHeight="true" outlineLevel="0" collapsed="false">
      <c r="A7" s="52" t="s">
        <v>1119</v>
      </c>
      <c r="B7" s="53" t="s">
        <v>1120</v>
      </c>
      <c r="C7" s="54" t="n">
        <v>6602</v>
      </c>
      <c r="D7" s="55" t="n">
        <f aca="false">C7/94312</f>
        <v>0.0700016964967342</v>
      </c>
      <c r="E7" s="54" t="n">
        <v>577</v>
      </c>
      <c r="F7" s="55" t="n">
        <f aca="false">E7/8240</f>
        <v>0.0700242718446602</v>
      </c>
      <c r="G7" s="56" t="n">
        <v>0.05</v>
      </c>
      <c r="H7" s="57" t="n">
        <f aca="false">E7*G7</f>
        <v>28.85</v>
      </c>
    </row>
    <row r="8" customFormat="false" ht="18" hidden="false" customHeight="true" outlineLevel="0" collapsed="false">
      <c r="A8" s="58" t="s">
        <v>1121</v>
      </c>
      <c r="B8" s="59" t="s">
        <v>1120</v>
      </c>
      <c r="C8" s="60" t="n">
        <v>4244</v>
      </c>
      <c r="D8" s="61" t="n">
        <f aca="false">C8/94312</f>
        <v>0.0449995758758164</v>
      </c>
      <c r="E8" s="60" t="n">
        <v>371</v>
      </c>
      <c r="F8" s="61" t="n">
        <f aca="false">E8/8240</f>
        <v>0.0450242718446602</v>
      </c>
      <c r="G8" s="62" t="n">
        <v>0.15</v>
      </c>
      <c r="H8" s="63" t="n">
        <f aca="false">E8*G8</f>
        <v>55.65</v>
      </c>
    </row>
    <row r="9" customFormat="false" ht="18" hidden="false" customHeight="true" outlineLevel="0" collapsed="false">
      <c r="A9" s="64" t="s">
        <v>1122</v>
      </c>
      <c r="B9" s="65" t="s">
        <v>1123</v>
      </c>
      <c r="C9" s="66" t="n">
        <v>3961</v>
      </c>
      <c r="D9" s="67" t="n">
        <f aca="false">C9/94312</f>
        <v>0.0419988972771227</v>
      </c>
      <c r="E9" s="66" t="n">
        <v>346</v>
      </c>
      <c r="F9" s="67" t="n">
        <f aca="false">E9/8240</f>
        <v>0.0419902912621359</v>
      </c>
      <c r="G9" s="68" t="n">
        <v>0.25</v>
      </c>
      <c r="H9" s="69" t="n">
        <f aca="false">E9*G9</f>
        <v>86.5</v>
      </c>
    </row>
    <row r="10" customFormat="false" ht="18" hidden="false" customHeight="true" outlineLevel="0" collapsed="false">
      <c r="A10" s="70" t="s">
        <v>1124</v>
      </c>
      <c r="B10" s="71" t="s">
        <v>1125</v>
      </c>
      <c r="C10" s="72" t="n">
        <v>2170</v>
      </c>
      <c r="D10" s="73" t="n">
        <f aca="false">C10/94312</f>
        <v>0.0230087369581814</v>
      </c>
      <c r="E10" s="72" t="n">
        <v>189</v>
      </c>
      <c r="F10" s="73" t="n">
        <f aca="false">E10/8240</f>
        <v>0.0229368932038835</v>
      </c>
      <c r="G10" s="74" t="n">
        <v>1</v>
      </c>
      <c r="H10" s="75" t="n">
        <f aca="false">E10*G10</f>
        <v>189</v>
      </c>
    </row>
    <row r="11" customFormat="false" ht="19.5" hidden="false" customHeight="true" outlineLevel="0" collapsed="false">
      <c r="A11" s="39" t="s">
        <v>1126</v>
      </c>
      <c r="B11" s="39"/>
      <c r="C11" s="76" t="n">
        <f aca="false">SUM(C5:C10)</f>
        <v>94312</v>
      </c>
      <c r="D11" s="39"/>
      <c r="E11" s="76" t="n">
        <f aca="false">SUM(E5:E10)</f>
        <v>8240</v>
      </c>
      <c r="F11" s="39"/>
      <c r="G11" s="39"/>
      <c r="H11" s="77" t="n">
        <f aca="false">SUM(H5:H10)</f>
        <v>391.972</v>
      </c>
    </row>
    <row r="13" customFormat="false" ht="18" hidden="false" customHeight="true" outlineLevel="0" collapsed="false">
      <c r="A13" s="3" t="s">
        <v>1127</v>
      </c>
      <c r="B13" s="3"/>
      <c r="C13" s="3"/>
      <c r="D13" s="3"/>
      <c r="E13" s="3"/>
      <c r="F13" s="3"/>
      <c r="G13" s="3"/>
      <c r="H13" s="3"/>
    </row>
    <row r="14" customFormat="false" ht="21.75" hidden="false" customHeight="true" outlineLevel="0" collapsed="false">
      <c r="A14" s="0" t="s">
        <v>1128</v>
      </c>
      <c r="B14" s="39" t="s">
        <v>77</v>
      </c>
      <c r="C14" s="39" t="s">
        <v>111</v>
      </c>
      <c r="D14" s="39" t="s">
        <v>269</v>
      </c>
      <c r="E14" s="39" t="s">
        <v>194</v>
      </c>
      <c r="F14" s="39" t="s">
        <v>286</v>
      </c>
      <c r="G14" s="39" t="s">
        <v>104</v>
      </c>
    </row>
    <row r="15" customFormat="false" ht="18" hidden="false" customHeight="true" outlineLevel="0" collapsed="false">
      <c r="A15" s="78" t="s">
        <v>77</v>
      </c>
      <c r="B15" s="79" t="n">
        <v>0.881</v>
      </c>
      <c r="C15" s="80" t="n">
        <v>0.062</v>
      </c>
      <c r="D15" s="81" t="n">
        <v>0.028</v>
      </c>
      <c r="E15" s="81" t="n">
        <v>0.015</v>
      </c>
      <c r="F15" s="81" t="n">
        <v>0.009</v>
      </c>
      <c r="G15" s="81" t="n">
        <v>0.005</v>
      </c>
    </row>
    <row r="16" customFormat="false" ht="18" hidden="false" customHeight="true" outlineLevel="0" collapsed="false">
      <c r="A16" s="78" t="s">
        <v>111</v>
      </c>
      <c r="B16" s="82" t="n">
        <v>0.423</v>
      </c>
      <c r="C16" s="82" t="n">
        <v>0.314</v>
      </c>
      <c r="D16" s="83" t="n">
        <v>0.142</v>
      </c>
      <c r="E16" s="80" t="n">
        <v>0.076</v>
      </c>
      <c r="F16" s="81" t="n">
        <v>0.03</v>
      </c>
      <c r="G16" s="81" t="n">
        <v>0.015</v>
      </c>
    </row>
    <row r="17" customFormat="false" ht="18" hidden="false" customHeight="true" outlineLevel="0" collapsed="false">
      <c r="A17" s="78" t="s">
        <v>269</v>
      </c>
      <c r="B17" s="83" t="n">
        <v>0.187</v>
      </c>
      <c r="C17" s="83" t="n">
        <v>0.221</v>
      </c>
      <c r="D17" s="82" t="n">
        <v>0.298</v>
      </c>
      <c r="E17" s="83" t="n">
        <v>0.183</v>
      </c>
      <c r="F17" s="80" t="n">
        <v>0.072</v>
      </c>
      <c r="G17" s="81" t="n">
        <v>0.039</v>
      </c>
    </row>
    <row r="18" customFormat="false" ht="18" hidden="false" customHeight="true" outlineLevel="0" collapsed="false">
      <c r="A18" s="78" t="s">
        <v>194</v>
      </c>
      <c r="B18" s="80" t="n">
        <v>0.082</v>
      </c>
      <c r="C18" s="83" t="n">
        <v>0.114</v>
      </c>
      <c r="D18" s="83" t="n">
        <v>0.186</v>
      </c>
      <c r="E18" s="82" t="n">
        <v>0.285</v>
      </c>
      <c r="F18" s="83" t="n">
        <v>0.218</v>
      </c>
      <c r="G18" s="83" t="n">
        <v>0.115</v>
      </c>
    </row>
    <row r="19" customFormat="false" ht="18" hidden="false" customHeight="true" outlineLevel="0" collapsed="false">
      <c r="A19" s="78" t="s">
        <v>286</v>
      </c>
      <c r="B19" s="81" t="n">
        <v>0.031</v>
      </c>
      <c r="C19" s="81" t="n">
        <v>0.042</v>
      </c>
      <c r="D19" s="80" t="n">
        <v>0.068</v>
      </c>
      <c r="E19" s="83" t="n">
        <v>0.124</v>
      </c>
      <c r="F19" s="82" t="n">
        <v>0.392</v>
      </c>
      <c r="G19" s="82" t="n">
        <v>0.343</v>
      </c>
    </row>
    <row r="20" customFormat="false" ht="18" hidden="false" customHeight="true" outlineLevel="0" collapsed="false">
      <c r="A20" s="78" t="s">
        <v>104</v>
      </c>
      <c r="B20" s="81" t="n">
        <v>0.01</v>
      </c>
      <c r="C20" s="81" t="n">
        <v>0.015</v>
      </c>
      <c r="D20" s="81" t="n">
        <v>0.028</v>
      </c>
      <c r="E20" s="81" t="n">
        <v>0.044</v>
      </c>
      <c r="F20" s="83" t="n">
        <v>0.168</v>
      </c>
      <c r="G20" s="79" t="n">
        <v>0.735</v>
      </c>
    </row>
  </sheetData>
  <mergeCells count="3">
    <mergeCell ref="A1:H1"/>
    <mergeCell ref="A3:H3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8" t="s">
        <v>1129</v>
      </c>
      <c r="B1" s="18"/>
      <c r="C1" s="18"/>
      <c r="D1" s="18"/>
      <c r="E1" s="18"/>
      <c r="F1" s="18"/>
      <c r="G1" s="18"/>
      <c r="H1" s="18"/>
      <c r="I1" s="18"/>
      <c r="J1" s="18"/>
    </row>
    <row r="2" customFormat="false" ht="24" hidden="false" customHeight="true" outlineLevel="0" collapsed="false">
      <c r="A2" s="4" t="s">
        <v>1130</v>
      </c>
      <c r="B2" s="4" t="s">
        <v>1131</v>
      </c>
      <c r="C2" s="4" t="s">
        <v>1132</v>
      </c>
      <c r="D2" s="4" t="s">
        <v>1133</v>
      </c>
      <c r="E2" s="4" t="s">
        <v>1134</v>
      </c>
      <c r="F2" s="4" t="s">
        <v>1135</v>
      </c>
      <c r="G2" s="4" t="s">
        <v>1136</v>
      </c>
      <c r="H2" s="4" t="s">
        <v>1137</v>
      </c>
      <c r="I2" s="4" t="s">
        <v>1138</v>
      </c>
      <c r="J2" s="4" t="s">
        <v>1139</v>
      </c>
    </row>
    <row r="3" customFormat="false" ht="15.75" hidden="false" customHeight="true" outlineLevel="0" collapsed="false">
      <c r="A3" s="10" t="s">
        <v>1140</v>
      </c>
      <c r="B3" s="17" t="n">
        <v>7842</v>
      </c>
      <c r="C3" s="84" t="n">
        <v>642</v>
      </c>
      <c r="D3" s="17" t="n">
        <v>329</v>
      </c>
      <c r="E3" s="84" t="n">
        <v>26.9</v>
      </c>
      <c r="F3" s="11" t="n">
        <v>0.0419</v>
      </c>
      <c r="G3" s="17" t="n">
        <v>712</v>
      </c>
      <c r="H3" s="85" t="n">
        <v>0.612</v>
      </c>
      <c r="I3" s="11" t="n">
        <v>0.098</v>
      </c>
      <c r="J3" s="86" t="s">
        <v>1141</v>
      </c>
    </row>
    <row r="4" customFormat="false" ht="15.75" hidden="false" customHeight="true" outlineLevel="0" collapsed="false">
      <c r="A4" s="5" t="s">
        <v>1142</v>
      </c>
      <c r="B4" s="16" t="n">
        <v>8124</v>
      </c>
      <c r="C4" s="87" t="n">
        <v>668</v>
      </c>
      <c r="D4" s="16" t="n">
        <v>357</v>
      </c>
      <c r="E4" s="87" t="n">
        <v>29.4</v>
      </c>
      <c r="F4" s="6" t="n">
        <v>0.044</v>
      </c>
      <c r="G4" s="16" t="n">
        <v>708</v>
      </c>
      <c r="H4" s="88" t="n">
        <v>0.618</v>
      </c>
      <c r="I4" s="6" t="n">
        <v>0.099</v>
      </c>
      <c r="J4" s="86" t="s">
        <v>1141</v>
      </c>
    </row>
    <row r="5" customFormat="false" ht="15.75" hidden="false" customHeight="true" outlineLevel="0" collapsed="false">
      <c r="A5" s="10" t="s">
        <v>1143</v>
      </c>
      <c r="B5" s="17" t="n">
        <v>8536</v>
      </c>
      <c r="C5" s="84" t="n">
        <v>701</v>
      </c>
      <c r="D5" s="17" t="n">
        <v>410</v>
      </c>
      <c r="E5" s="84" t="n">
        <v>33.7</v>
      </c>
      <c r="F5" s="11" t="n">
        <v>0.0481</v>
      </c>
      <c r="G5" s="17" t="n">
        <v>705</v>
      </c>
      <c r="H5" s="85" t="n">
        <v>0.625</v>
      </c>
      <c r="I5" s="11" t="n">
        <v>0.1</v>
      </c>
      <c r="J5" s="86" t="s">
        <v>1141</v>
      </c>
    </row>
    <row r="6" customFormat="false" ht="15.75" hidden="false" customHeight="true" outlineLevel="0" collapsed="false">
      <c r="A6" s="5" t="s">
        <v>1144</v>
      </c>
      <c r="B6" s="16" t="n">
        <v>8291</v>
      </c>
      <c r="C6" s="87" t="n">
        <v>681</v>
      </c>
      <c r="D6" s="16" t="n">
        <v>390</v>
      </c>
      <c r="E6" s="87" t="n">
        <v>31.8</v>
      </c>
      <c r="F6" s="6" t="n">
        <v>0.0467</v>
      </c>
      <c r="G6" s="16" t="n">
        <v>710</v>
      </c>
      <c r="H6" s="88" t="n">
        <v>0.619</v>
      </c>
      <c r="I6" s="6" t="n">
        <v>0.099</v>
      </c>
      <c r="J6" s="86" t="s">
        <v>1141</v>
      </c>
    </row>
    <row r="7" customFormat="false" ht="15.75" hidden="false" customHeight="true" outlineLevel="0" collapsed="false">
      <c r="A7" s="10" t="s">
        <v>1145</v>
      </c>
      <c r="B7" s="17" t="n">
        <v>9104</v>
      </c>
      <c r="C7" s="84" t="n">
        <v>748</v>
      </c>
      <c r="D7" s="17" t="n">
        <v>464</v>
      </c>
      <c r="E7" s="84" t="n">
        <v>38.2</v>
      </c>
      <c r="F7" s="11" t="n">
        <v>0.0511</v>
      </c>
      <c r="G7" s="17" t="n">
        <v>703</v>
      </c>
      <c r="H7" s="85" t="n">
        <v>0.631</v>
      </c>
      <c r="I7" s="11" t="n">
        <v>0.101</v>
      </c>
      <c r="J7" s="86" t="s">
        <v>1141</v>
      </c>
    </row>
    <row r="8" customFormat="false" ht="15.75" hidden="false" customHeight="true" outlineLevel="0" collapsed="false">
      <c r="A8" s="5" t="s">
        <v>1146</v>
      </c>
      <c r="B8" s="16" t="n">
        <v>9387</v>
      </c>
      <c r="C8" s="87" t="n">
        <v>771</v>
      </c>
      <c r="D8" s="16" t="n">
        <v>489</v>
      </c>
      <c r="E8" s="87" t="n">
        <v>40.3</v>
      </c>
      <c r="F8" s="6" t="n">
        <v>0.0523</v>
      </c>
      <c r="G8" s="16" t="n">
        <v>700</v>
      </c>
      <c r="H8" s="88" t="n">
        <v>0.638</v>
      </c>
      <c r="I8" s="6" t="n">
        <v>0.102</v>
      </c>
      <c r="J8" s="86" t="s">
        <v>1141</v>
      </c>
    </row>
    <row r="9" customFormat="false" ht="15.75" hidden="false" customHeight="true" outlineLevel="0" collapsed="false">
      <c r="A9" s="10" t="s">
        <v>1147</v>
      </c>
      <c r="B9" s="17" t="n">
        <v>9782</v>
      </c>
      <c r="C9" s="84" t="n">
        <v>803</v>
      </c>
      <c r="D9" s="17" t="n">
        <v>557</v>
      </c>
      <c r="E9" s="84" t="n">
        <v>45.8</v>
      </c>
      <c r="F9" s="11" t="n">
        <v>0.057</v>
      </c>
      <c r="G9" s="17" t="n">
        <v>698</v>
      </c>
      <c r="H9" s="85" t="n">
        <v>0.642</v>
      </c>
      <c r="I9" s="11" t="n">
        <v>0.103</v>
      </c>
      <c r="J9" s="86" t="s">
        <v>1141</v>
      </c>
    </row>
    <row r="10" customFormat="false" ht="15.75" hidden="false" customHeight="true" outlineLevel="0" collapsed="false">
      <c r="A10" s="5" t="s">
        <v>1148</v>
      </c>
      <c r="B10" s="16" t="n">
        <v>9241</v>
      </c>
      <c r="C10" s="87" t="n">
        <v>759</v>
      </c>
      <c r="D10" s="16" t="n">
        <v>508</v>
      </c>
      <c r="E10" s="87" t="n">
        <v>41.8</v>
      </c>
      <c r="F10" s="6" t="n">
        <v>0.055</v>
      </c>
      <c r="G10" s="16" t="n">
        <v>701</v>
      </c>
      <c r="H10" s="88" t="n">
        <v>0.636</v>
      </c>
      <c r="I10" s="6" t="n">
        <v>0.102</v>
      </c>
      <c r="J10" s="86" t="s">
        <v>1141</v>
      </c>
    </row>
    <row r="11" customFormat="false" ht="15.75" hidden="false" customHeight="true" outlineLevel="0" collapsed="false">
      <c r="A11" s="10" t="s">
        <v>1149</v>
      </c>
      <c r="B11" s="17" t="n">
        <v>8012</v>
      </c>
      <c r="C11" s="84" t="n">
        <v>658</v>
      </c>
      <c r="D11" s="17" t="n">
        <v>504</v>
      </c>
      <c r="E11" s="84" t="n">
        <v>41.5</v>
      </c>
      <c r="F11" s="11" t="n">
        <v>0.0631</v>
      </c>
      <c r="G11" s="17" t="n">
        <v>693</v>
      </c>
      <c r="H11" s="85" t="n">
        <v>0.651</v>
      </c>
      <c r="I11" s="11" t="n">
        <v>0.105</v>
      </c>
      <c r="J11" s="89" t="s">
        <v>1150</v>
      </c>
    </row>
    <row r="12" customFormat="false" ht="15.75" hidden="false" customHeight="true" outlineLevel="0" collapsed="false">
      <c r="A12" s="5" t="s">
        <v>1151</v>
      </c>
      <c r="B12" s="16" t="n">
        <v>7641</v>
      </c>
      <c r="C12" s="87" t="n">
        <v>627</v>
      </c>
      <c r="D12" s="16" t="n">
        <v>465</v>
      </c>
      <c r="E12" s="87" t="n">
        <v>38.2</v>
      </c>
      <c r="F12" s="6" t="n">
        <v>0.0609</v>
      </c>
      <c r="G12" s="16" t="n">
        <v>695</v>
      </c>
      <c r="H12" s="88" t="n">
        <v>0.648</v>
      </c>
      <c r="I12" s="6" t="n">
        <v>0.104</v>
      </c>
      <c r="J12" s="89" t="s">
        <v>1150</v>
      </c>
    </row>
    <row r="13" customFormat="false" ht="15.75" hidden="false" customHeight="true" outlineLevel="0" collapsed="false">
      <c r="A13" s="10" t="s">
        <v>1152</v>
      </c>
      <c r="B13" s="17" t="n">
        <v>7284</v>
      </c>
      <c r="C13" s="84" t="n">
        <v>598</v>
      </c>
      <c r="D13" s="17" t="n">
        <v>466</v>
      </c>
      <c r="E13" s="84" t="n">
        <v>38.3</v>
      </c>
      <c r="F13" s="11" t="n">
        <v>0.0641</v>
      </c>
      <c r="G13" s="17" t="n">
        <v>691</v>
      </c>
      <c r="H13" s="85" t="n">
        <v>0.654</v>
      </c>
      <c r="I13" s="11" t="n">
        <v>0.106</v>
      </c>
      <c r="J13" s="89" t="s">
        <v>1150</v>
      </c>
    </row>
    <row r="14" customFormat="false" ht="15.75" hidden="false" customHeight="true" outlineLevel="0" collapsed="false">
      <c r="A14" s="5" t="s">
        <v>1153</v>
      </c>
      <c r="B14" s="16" t="n">
        <v>7819</v>
      </c>
      <c r="C14" s="87" t="n">
        <v>642</v>
      </c>
      <c r="D14" s="16" t="n">
        <v>512</v>
      </c>
      <c r="E14" s="87" t="n">
        <v>42.1</v>
      </c>
      <c r="F14" s="6" t="n">
        <v>0.0656</v>
      </c>
      <c r="G14" s="16" t="n">
        <v>689</v>
      </c>
      <c r="H14" s="88" t="n">
        <v>0.658</v>
      </c>
      <c r="I14" s="6" t="n">
        <v>0.107</v>
      </c>
      <c r="J14" s="89" t="s">
        <v>1150</v>
      </c>
    </row>
    <row r="15" customFormat="false" ht="15.75" hidden="false" customHeight="true" outlineLevel="0" collapsed="false">
      <c r="A15" s="10" t="s">
        <v>1154</v>
      </c>
      <c r="B15" s="17" t="n">
        <v>8621</v>
      </c>
      <c r="C15" s="84" t="n">
        <v>708</v>
      </c>
      <c r="D15" s="17" t="n">
        <v>724</v>
      </c>
      <c r="E15" s="84" t="n">
        <v>59.5</v>
      </c>
      <c r="F15" s="11" t="n">
        <v>0.084</v>
      </c>
      <c r="G15" s="17" t="n">
        <v>682</v>
      </c>
      <c r="H15" s="85" t="n">
        <v>0.665</v>
      </c>
      <c r="I15" s="11" t="n">
        <v>0.109</v>
      </c>
      <c r="J15" s="89" t="s">
        <v>1150</v>
      </c>
    </row>
    <row r="16" customFormat="false" ht="15.75" hidden="false" customHeight="true" outlineLevel="0" collapsed="false">
      <c r="A16" s="5" t="s">
        <v>1155</v>
      </c>
      <c r="B16" s="16" t="n">
        <v>8894</v>
      </c>
      <c r="C16" s="87" t="n">
        <v>731</v>
      </c>
      <c r="D16" s="16" t="n">
        <v>759</v>
      </c>
      <c r="E16" s="87" t="n">
        <v>62.4</v>
      </c>
      <c r="F16" s="6" t="n">
        <v>0.0854</v>
      </c>
      <c r="G16" s="16" t="n">
        <v>680</v>
      </c>
      <c r="H16" s="88" t="n">
        <v>0.668</v>
      </c>
      <c r="I16" s="6" t="n">
        <v>0.11</v>
      </c>
      <c r="J16" s="89" t="s">
        <v>1150</v>
      </c>
    </row>
    <row r="17" customFormat="false" ht="15.75" hidden="false" customHeight="true" outlineLevel="0" collapsed="false">
      <c r="A17" s="10" t="s">
        <v>1156</v>
      </c>
      <c r="B17" s="17" t="n">
        <v>9247</v>
      </c>
      <c r="C17" s="84" t="n">
        <v>760</v>
      </c>
      <c r="D17" s="17" t="n">
        <v>961</v>
      </c>
      <c r="E17" s="84" t="n">
        <v>79</v>
      </c>
      <c r="F17" s="11" t="n">
        <v>0.104</v>
      </c>
      <c r="G17" s="17" t="n">
        <v>675</v>
      </c>
      <c r="H17" s="85" t="n">
        <v>0.672</v>
      </c>
      <c r="I17" s="11" t="n">
        <v>0.112</v>
      </c>
      <c r="J17" s="90" t="s">
        <v>1157</v>
      </c>
    </row>
    <row r="18" customFormat="false" ht="15.75" hidden="false" customHeight="true" outlineLevel="0" collapsed="false">
      <c r="A18" s="5" t="s">
        <v>1158</v>
      </c>
      <c r="B18" s="16" t="n">
        <v>8756</v>
      </c>
      <c r="C18" s="87" t="n">
        <v>719</v>
      </c>
      <c r="D18" s="16" t="n">
        <v>807</v>
      </c>
      <c r="E18" s="87" t="n">
        <v>66.3</v>
      </c>
      <c r="F18" s="6" t="n">
        <v>0.0922</v>
      </c>
      <c r="G18" s="16" t="n">
        <v>678</v>
      </c>
      <c r="H18" s="88" t="n">
        <v>0.67</v>
      </c>
      <c r="I18" s="6" t="n">
        <v>0.111</v>
      </c>
      <c r="J18" s="90" t="s">
        <v>1157</v>
      </c>
    </row>
    <row r="19" customFormat="false" ht="15.75" hidden="false" customHeight="true" outlineLevel="0" collapsed="false">
      <c r="A19" s="10" t="s">
        <v>1159</v>
      </c>
      <c r="B19" s="17" t="n">
        <v>9482</v>
      </c>
      <c r="C19" s="84" t="n">
        <v>779</v>
      </c>
      <c r="D19" s="17" t="n">
        <v>874</v>
      </c>
      <c r="E19" s="84" t="n">
        <v>71.8</v>
      </c>
      <c r="F19" s="11" t="n">
        <v>0.0921</v>
      </c>
      <c r="G19" s="17" t="n">
        <v>681</v>
      </c>
      <c r="H19" s="85" t="n">
        <v>0.667</v>
      </c>
      <c r="I19" s="11" t="n">
        <v>0.11</v>
      </c>
      <c r="J19" s="90" t="s">
        <v>1157</v>
      </c>
    </row>
    <row r="20" customFormat="false" ht="15.75" hidden="false" customHeight="true" outlineLevel="0" collapsed="false">
      <c r="A20" s="5" t="s">
        <v>1160</v>
      </c>
      <c r="B20" s="16" t="n">
        <v>9841</v>
      </c>
      <c r="C20" s="87" t="n">
        <v>808</v>
      </c>
      <c r="D20" s="16" t="n">
        <v>808</v>
      </c>
      <c r="E20" s="87" t="n">
        <v>66.4</v>
      </c>
      <c r="F20" s="6" t="n">
        <v>0.0822</v>
      </c>
      <c r="G20" s="16" t="n">
        <v>684</v>
      </c>
      <c r="H20" s="88" t="n">
        <v>0.662</v>
      </c>
      <c r="I20" s="6" t="n">
        <v>0.109</v>
      </c>
      <c r="J20" s="89" t="s">
        <v>1150</v>
      </c>
    </row>
    <row r="21" customFormat="false" ht="15.75" hidden="false" customHeight="true" outlineLevel="0" collapsed="false">
      <c r="A21" s="10" t="s">
        <v>1161</v>
      </c>
      <c r="B21" s="17" t="n">
        <v>10124</v>
      </c>
      <c r="C21" s="84" t="n">
        <v>832</v>
      </c>
      <c r="D21" s="17" t="n">
        <v>822</v>
      </c>
      <c r="E21" s="84" t="n">
        <v>67.5</v>
      </c>
      <c r="F21" s="11" t="n">
        <v>0.0812</v>
      </c>
      <c r="G21" s="17" t="n">
        <v>686</v>
      </c>
      <c r="H21" s="85" t="n">
        <v>0.659</v>
      </c>
      <c r="I21" s="11" t="n">
        <v>0.108</v>
      </c>
      <c r="J21" s="89" t="s">
        <v>1150</v>
      </c>
    </row>
    <row r="22" customFormat="false" ht="15.75" hidden="false" customHeight="true" outlineLevel="0" collapsed="false">
      <c r="A22" s="5" t="s">
        <v>1162</v>
      </c>
      <c r="B22" s="16" t="n">
        <v>9768</v>
      </c>
      <c r="C22" s="87" t="n">
        <v>803</v>
      </c>
      <c r="D22" s="16" t="n">
        <v>714</v>
      </c>
      <c r="E22" s="87" t="n">
        <v>58.7</v>
      </c>
      <c r="F22" s="6" t="n">
        <v>0.0731</v>
      </c>
      <c r="G22" s="16" t="n">
        <v>689</v>
      </c>
      <c r="H22" s="88" t="n">
        <v>0.655</v>
      </c>
      <c r="I22" s="6" t="n">
        <v>0.107</v>
      </c>
      <c r="J22" s="89" t="s">
        <v>1150</v>
      </c>
    </row>
    <row r="23" customFormat="false" ht="15.75" hidden="false" customHeight="true" outlineLevel="0" collapsed="false">
      <c r="A23" s="10" t="s">
        <v>1163</v>
      </c>
      <c r="B23" s="17" t="n">
        <v>10341</v>
      </c>
      <c r="C23" s="84" t="n">
        <v>850</v>
      </c>
      <c r="D23" s="17" t="n">
        <v>651</v>
      </c>
      <c r="E23" s="84" t="n">
        <v>53.5</v>
      </c>
      <c r="F23" s="11" t="n">
        <v>0.063</v>
      </c>
      <c r="G23" s="17" t="n">
        <v>693</v>
      </c>
      <c r="H23" s="85" t="n">
        <v>0.649</v>
      </c>
      <c r="I23" s="11" t="n">
        <v>0.106</v>
      </c>
      <c r="J23" s="89" t="s">
        <v>1150</v>
      </c>
    </row>
    <row r="24" customFormat="false" ht="15.75" hidden="false" customHeight="true" outlineLevel="0" collapsed="false">
      <c r="A24" s="5" t="s">
        <v>1164</v>
      </c>
      <c r="B24" s="16" t="n">
        <v>10682</v>
      </c>
      <c r="C24" s="87" t="n">
        <v>878</v>
      </c>
      <c r="D24" s="16" t="n">
        <v>649</v>
      </c>
      <c r="E24" s="87" t="n">
        <v>53.3</v>
      </c>
      <c r="F24" s="6" t="n">
        <v>0.0607</v>
      </c>
      <c r="G24" s="16" t="n">
        <v>696</v>
      </c>
      <c r="H24" s="88" t="n">
        <v>0.645</v>
      </c>
      <c r="I24" s="6" t="n">
        <v>0.105</v>
      </c>
      <c r="J24" s="89" t="s">
        <v>1150</v>
      </c>
    </row>
    <row r="25" customFormat="false" ht="15.75" hidden="false" customHeight="true" outlineLevel="0" collapsed="false">
      <c r="A25" s="10" t="s">
        <v>1165</v>
      </c>
      <c r="B25" s="17" t="n">
        <v>10924</v>
      </c>
      <c r="C25" s="84" t="n">
        <v>898</v>
      </c>
      <c r="D25" s="17" t="n">
        <v>535</v>
      </c>
      <c r="E25" s="84" t="n">
        <v>44</v>
      </c>
      <c r="F25" s="11" t="n">
        <v>0.049</v>
      </c>
      <c r="G25" s="17" t="n">
        <v>699</v>
      </c>
      <c r="H25" s="85" t="n">
        <v>0.641</v>
      </c>
      <c r="I25" s="11" t="n">
        <v>0.103</v>
      </c>
      <c r="J25" s="86" t="s">
        <v>1141</v>
      </c>
    </row>
    <row r="26" customFormat="false" ht="15.75" hidden="false" customHeight="true" outlineLevel="0" collapsed="false">
      <c r="A26" s="5" t="s">
        <v>1166</v>
      </c>
      <c r="B26" s="16" t="n">
        <v>9876</v>
      </c>
      <c r="C26" s="87" t="n">
        <v>811</v>
      </c>
      <c r="D26" s="16" t="n">
        <v>385</v>
      </c>
      <c r="E26" s="87" t="n">
        <v>31.6</v>
      </c>
      <c r="F26" s="6" t="n">
        <v>0.039</v>
      </c>
      <c r="G26" s="16" t="n">
        <v>703</v>
      </c>
      <c r="H26" s="88" t="n">
        <v>0.636</v>
      </c>
      <c r="I26" s="6" t="n">
        <v>0.102</v>
      </c>
      <c r="J26" s="86" t="s">
        <v>1141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8" t="s">
        <v>1167</v>
      </c>
      <c r="B1" s="18"/>
      <c r="C1" s="18"/>
      <c r="D1" s="18"/>
      <c r="E1" s="18"/>
      <c r="F1" s="18"/>
      <c r="G1" s="18"/>
      <c r="H1" s="18"/>
      <c r="I1" s="18"/>
    </row>
    <row r="2" customFormat="false" ht="24" hidden="false" customHeight="true" outlineLevel="0" collapsed="false">
      <c r="A2" s="4" t="s">
        <v>61</v>
      </c>
      <c r="B2" s="4" t="s">
        <v>28</v>
      </c>
      <c r="C2" s="4" t="s">
        <v>1089</v>
      </c>
      <c r="D2" s="4" t="s">
        <v>1133</v>
      </c>
      <c r="E2" s="4" t="s">
        <v>1168</v>
      </c>
      <c r="F2" s="4" t="s">
        <v>1169</v>
      </c>
      <c r="G2" s="4" t="s">
        <v>1170</v>
      </c>
      <c r="H2" s="4" t="s">
        <v>1136</v>
      </c>
      <c r="I2" s="4" t="s">
        <v>1137</v>
      </c>
    </row>
    <row r="3" customFormat="false" ht="19.5" hidden="false" customHeight="true" outlineLevel="0" collapsed="false">
      <c r="A3" s="10" t="s">
        <v>99</v>
      </c>
      <c r="B3" s="17" t="n">
        <v>13142</v>
      </c>
      <c r="C3" s="84" t="n">
        <v>520</v>
      </c>
      <c r="D3" s="17" t="n">
        <v>1867</v>
      </c>
      <c r="E3" s="84" t="n">
        <v>73.9</v>
      </c>
      <c r="F3" s="11" t="n">
        <v>0.142</v>
      </c>
      <c r="G3" s="13" t="n">
        <f aca="false">F3*C3*(E3/100)</f>
        <v>54.56776</v>
      </c>
      <c r="H3" s="17" t="n">
        <v>631</v>
      </c>
      <c r="I3" s="85"/>
    </row>
    <row r="4" customFormat="false" ht="19.5" hidden="false" customHeight="true" outlineLevel="0" collapsed="false">
      <c r="A4" s="5" t="s">
        <v>84</v>
      </c>
      <c r="B4" s="16" t="n">
        <v>8440</v>
      </c>
      <c r="C4" s="87" t="n">
        <v>990</v>
      </c>
      <c r="D4" s="16" t="n">
        <v>1000</v>
      </c>
      <c r="E4" s="87" t="n">
        <v>116.8</v>
      </c>
      <c r="F4" s="6" t="n">
        <v>0.118</v>
      </c>
      <c r="G4" s="8" t="n">
        <f aca="false">F4*C4*(E4/100)</f>
        <v>136.44576</v>
      </c>
      <c r="H4" s="16" t="n">
        <v>648</v>
      </c>
      <c r="I4" s="88"/>
    </row>
    <row r="5" customFormat="false" ht="19.5" hidden="false" customHeight="true" outlineLevel="0" collapsed="false">
      <c r="A5" s="10" t="s">
        <v>91</v>
      </c>
      <c r="B5" s="17" t="n">
        <v>31220</v>
      </c>
      <c r="C5" s="84" t="n">
        <v>1640</v>
      </c>
      <c r="D5" s="17" t="n">
        <v>2904</v>
      </c>
      <c r="E5" s="84" t="n">
        <v>152.5</v>
      </c>
      <c r="F5" s="11" t="n">
        <v>0.093</v>
      </c>
      <c r="G5" s="13" t="n">
        <f aca="false">F5*C5*(E5/100)</f>
        <v>232.593</v>
      </c>
      <c r="H5" s="17" t="n">
        <v>658</v>
      </c>
      <c r="I5" s="85"/>
    </row>
    <row r="6" customFormat="false" ht="19.5" hidden="false" customHeight="true" outlineLevel="0" collapsed="false">
      <c r="A6" s="5" t="s">
        <v>75</v>
      </c>
      <c r="B6" s="16" t="n">
        <v>18670</v>
      </c>
      <c r="C6" s="87" t="n">
        <v>1180</v>
      </c>
      <c r="D6" s="16" t="n">
        <v>1251</v>
      </c>
      <c r="E6" s="87" t="n">
        <v>79.1</v>
      </c>
      <c r="F6" s="6" t="n">
        <v>0.067</v>
      </c>
      <c r="G6" s="8" t="n">
        <f aca="false">F6*C6*(E6/100)</f>
        <v>62.53646</v>
      </c>
      <c r="H6" s="16" t="n">
        <v>668</v>
      </c>
      <c r="I6" s="88" t="n">
        <v>0.682</v>
      </c>
    </row>
    <row r="7" customFormat="false" ht="19.5" hidden="false" customHeight="true" outlineLevel="0" collapsed="false">
      <c r="A7" s="10" t="s">
        <v>80</v>
      </c>
      <c r="B7" s="17" t="n">
        <v>22840</v>
      </c>
      <c r="C7" s="84" t="n">
        <v>3910</v>
      </c>
      <c r="D7" s="17" t="n">
        <v>868</v>
      </c>
      <c r="E7" s="84" t="n">
        <v>148.6</v>
      </c>
      <c r="F7" s="11" t="n">
        <v>0.038</v>
      </c>
      <c r="G7" s="13" t="n">
        <f aca="false">F7*C7*(E7/100)</f>
        <v>220.78988</v>
      </c>
      <c r="H7" s="17" t="n">
        <v>698</v>
      </c>
      <c r="I7" s="85" t="n">
        <v>0.641</v>
      </c>
    </row>
    <row r="8" customFormat="false" ht="21.75" hidden="false" customHeight="true" outlineLevel="0" collapsed="false">
      <c r="A8" s="39" t="s">
        <v>1171</v>
      </c>
      <c r="B8" s="76" t="n">
        <f aca="false">SUM(B3:B7)</f>
        <v>94312</v>
      </c>
      <c r="C8" s="77" t="n">
        <f aca="false">SUM(C3:C7)</f>
        <v>8240</v>
      </c>
      <c r="D8" s="76" t="n">
        <f aca="false">SUM(D3:D7)</f>
        <v>7890</v>
      </c>
      <c r="E8" s="77" t="n">
        <f aca="false">SUM(E3:E7)</f>
        <v>570.9</v>
      </c>
      <c r="F8" s="91" t="n">
        <f aca="false">E8/C8</f>
        <v>0.0692839805825243</v>
      </c>
      <c r="G8" s="39"/>
      <c r="H8" s="76" t="n">
        <f aca="false">SUMPRODUCT(B3:B7,H3:H7)/SUM(B3:B7)</f>
        <v>665.009351938248</v>
      </c>
      <c r="I8" s="39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10" min="9" style="0" width="12"/>
  </cols>
  <sheetData>
    <row r="1" customFormat="false" ht="30" hidden="false" customHeight="true" outlineLevel="0" collapsed="false">
      <c r="A1" s="18" t="s">
        <v>1172</v>
      </c>
      <c r="B1" s="18"/>
      <c r="C1" s="18"/>
      <c r="D1" s="18"/>
      <c r="E1" s="18"/>
      <c r="F1" s="18"/>
      <c r="G1" s="18"/>
      <c r="H1" s="18"/>
      <c r="I1" s="18"/>
      <c r="J1" s="18"/>
    </row>
    <row r="2" customFormat="false" ht="24" hidden="false" customHeight="true" outlineLevel="0" collapsed="false">
      <c r="A2" s="92" t="s">
        <v>59</v>
      </c>
      <c r="B2" s="92" t="s">
        <v>60</v>
      </c>
      <c r="C2" s="92" t="s">
        <v>1173</v>
      </c>
      <c r="D2" s="92" t="s">
        <v>71</v>
      </c>
      <c r="E2" s="92" t="s">
        <v>1174</v>
      </c>
      <c r="F2" s="92" t="s">
        <v>72</v>
      </c>
      <c r="G2" s="92" t="s">
        <v>1175</v>
      </c>
      <c r="H2" s="92" t="s">
        <v>1176</v>
      </c>
      <c r="I2" s="92" t="s">
        <v>1177</v>
      </c>
      <c r="J2" s="92" t="s">
        <v>1178</v>
      </c>
    </row>
    <row r="3" customFormat="false" ht="18" hidden="false" customHeight="true" outlineLevel="0" collapsed="false">
      <c r="A3" s="10" t="s">
        <v>1179</v>
      </c>
      <c r="B3" s="10" t="s">
        <v>1180</v>
      </c>
      <c r="C3" s="13" t="s">
        <v>84</v>
      </c>
      <c r="D3" s="13" t="s">
        <v>104</v>
      </c>
      <c r="E3" s="93" t="n">
        <v>4280000</v>
      </c>
      <c r="F3" s="13" t="n">
        <v>541</v>
      </c>
      <c r="G3" s="85"/>
      <c r="H3" s="13" t="n">
        <v>200</v>
      </c>
      <c r="I3" s="13" t="n">
        <v>94.2</v>
      </c>
      <c r="J3" s="9" t="s">
        <v>1181</v>
      </c>
    </row>
    <row r="4" customFormat="false" ht="18" hidden="false" customHeight="true" outlineLevel="0" collapsed="false">
      <c r="A4" s="5" t="s">
        <v>1182</v>
      </c>
      <c r="B4" s="5" t="s">
        <v>1183</v>
      </c>
      <c r="C4" s="8" t="s">
        <v>80</v>
      </c>
      <c r="D4" s="8" t="s">
        <v>286</v>
      </c>
      <c r="E4" s="94" t="n">
        <v>7850000</v>
      </c>
      <c r="F4" s="8" t="n">
        <v>558</v>
      </c>
      <c r="G4" s="88" t="n">
        <v>0.891</v>
      </c>
      <c r="H4" s="8" t="n">
        <v>142</v>
      </c>
      <c r="I4" s="8" t="n">
        <v>88.7</v>
      </c>
      <c r="J4" s="9" t="s">
        <v>1181</v>
      </c>
    </row>
    <row r="5" customFormat="false" ht="18" hidden="false" customHeight="true" outlineLevel="0" collapsed="false">
      <c r="A5" s="10" t="s">
        <v>1184</v>
      </c>
      <c r="B5" s="10" t="s">
        <v>1185</v>
      </c>
      <c r="C5" s="13" t="s">
        <v>91</v>
      </c>
      <c r="D5" s="13" t="s">
        <v>194</v>
      </c>
      <c r="E5" s="93" t="n">
        <v>820000</v>
      </c>
      <c r="F5" s="13" t="n">
        <v>571</v>
      </c>
      <c r="G5" s="85"/>
      <c r="H5" s="13" t="n">
        <v>78</v>
      </c>
      <c r="I5" s="13" t="n">
        <v>76.3</v>
      </c>
      <c r="J5" s="9" t="s">
        <v>1181</v>
      </c>
    </row>
    <row r="6" customFormat="false" ht="18" hidden="false" customHeight="true" outlineLevel="0" collapsed="false">
      <c r="A6" s="5" t="s">
        <v>1186</v>
      </c>
      <c r="B6" s="5" t="s">
        <v>1187</v>
      </c>
      <c r="C6" s="8" t="s">
        <v>75</v>
      </c>
      <c r="D6" s="8" t="s">
        <v>286</v>
      </c>
      <c r="E6" s="94" t="n">
        <v>1840000</v>
      </c>
      <c r="F6" s="8" t="n">
        <v>602</v>
      </c>
      <c r="G6" s="88" t="n">
        <v>0.832</v>
      </c>
      <c r="H6" s="8" t="n">
        <v>136</v>
      </c>
      <c r="I6" s="8" t="n">
        <v>71.8</v>
      </c>
      <c r="J6" s="9" t="s">
        <v>1181</v>
      </c>
    </row>
    <row r="7" customFormat="false" ht="18" hidden="false" customHeight="true" outlineLevel="0" collapsed="false">
      <c r="A7" s="10" t="s">
        <v>1188</v>
      </c>
      <c r="B7" s="10" t="s">
        <v>1189</v>
      </c>
      <c r="C7" s="13" t="s">
        <v>99</v>
      </c>
      <c r="D7" s="13" t="s">
        <v>269</v>
      </c>
      <c r="E7" s="93" t="n">
        <v>360000</v>
      </c>
      <c r="F7" s="13" t="n">
        <v>590</v>
      </c>
      <c r="G7" s="85"/>
      <c r="H7" s="13" t="n">
        <v>48</v>
      </c>
      <c r="I7" s="13" t="n">
        <v>65.4</v>
      </c>
      <c r="J7" s="9" t="s">
        <v>1181</v>
      </c>
    </row>
    <row r="8" customFormat="false" ht="18" hidden="false" customHeight="true" outlineLevel="0" collapsed="false">
      <c r="A8" s="5" t="s">
        <v>1190</v>
      </c>
      <c r="B8" s="5" t="s">
        <v>1191</v>
      </c>
      <c r="C8" s="8" t="s">
        <v>84</v>
      </c>
      <c r="D8" s="8" t="s">
        <v>194</v>
      </c>
      <c r="E8" s="94" t="n">
        <v>3100000</v>
      </c>
      <c r="F8" s="8" t="n">
        <v>615</v>
      </c>
      <c r="G8" s="88"/>
      <c r="H8" s="8" t="n">
        <v>82</v>
      </c>
      <c r="I8" s="8" t="n">
        <v>59.1</v>
      </c>
      <c r="J8" s="14" t="s">
        <v>1192</v>
      </c>
    </row>
    <row r="9" customFormat="false" ht="18" hidden="false" customHeight="true" outlineLevel="0" collapsed="false">
      <c r="A9" s="10" t="s">
        <v>1193</v>
      </c>
      <c r="B9" s="10" t="s">
        <v>1194</v>
      </c>
      <c r="C9" s="13" t="s">
        <v>80</v>
      </c>
      <c r="D9" s="13" t="s">
        <v>111</v>
      </c>
      <c r="E9" s="93" t="n">
        <v>9100000</v>
      </c>
      <c r="F9" s="13" t="n">
        <v>648</v>
      </c>
      <c r="G9" s="85" t="n">
        <v>0.812</v>
      </c>
      <c r="H9" s="13" t="n">
        <v>18</v>
      </c>
      <c r="I9" s="13" t="n">
        <v>32.5</v>
      </c>
      <c r="J9" s="14" t="s">
        <v>1192</v>
      </c>
    </row>
    <row r="10" customFormat="false" ht="18" hidden="false" customHeight="true" outlineLevel="0" collapsed="false">
      <c r="A10" s="5" t="s">
        <v>1195</v>
      </c>
      <c r="B10" s="5" t="s">
        <v>1196</v>
      </c>
      <c r="C10" s="8" t="s">
        <v>91</v>
      </c>
      <c r="D10" s="8" t="s">
        <v>269</v>
      </c>
      <c r="E10" s="94" t="n">
        <v>520000</v>
      </c>
      <c r="F10" s="8" t="n">
        <v>608</v>
      </c>
      <c r="G10" s="88"/>
      <c r="H10" s="8" t="n">
        <v>45</v>
      </c>
      <c r="I10" s="8" t="n">
        <v>48.7</v>
      </c>
      <c r="J10" s="14" t="s">
        <v>1192</v>
      </c>
    </row>
    <row r="11" customFormat="false" ht="18" hidden="false" customHeight="true" outlineLevel="0" collapsed="false">
      <c r="A11" s="10" t="s">
        <v>1197</v>
      </c>
      <c r="B11" s="10" t="s">
        <v>1198</v>
      </c>
      <c r="C11" s="13" t="s">
        <v>75</v>
      </c>
      <c r="D11" s="13" t="s">
        <v>111</v>
      </c>
      <c r="E11" s="93" t="n">
        <v>1240000</v>
      </c>
      <c r="F11" s="13" t="n">
        <v>631</v>
      </c>
      <c r="G11" s="85" t="n">
        <v>0.778</v>
      </c>
      <c r="H11" s="13" t="n">
        <v>22</v>
      </c>
      <c r="I11" s="13" t="n">
        <v>28.3</v>
      </c>
      <c r="J11" s="15" t="s">
        <v>1199</v>
      </c>
    </row>
    <row r="12" customFormat="false" ht="18" hidden="false" customHeight="true" outlineLevel="0" collapsed="false">
      <c r="A12" s="5" t="s">
        <v>1200</v>
      </c>
      <c r="B12" s="5" t="s">
        <v>1201</v>
      </c>
      <c r="C12" s="8" t="s">
        <v>80</v>
      </c>
      <c r="D12" s="8" t="s">
        <v>77</v>
      </c>
      <c r="E12" s="94" t="n">
        <v>6300000</v>
      </c>
      <c r="F12" s="8" t="n">
        <v>661</v>
      </c>
      <c r="G12" s="88" t="n">
        <v>0.821</v>
      </c>
      <c r="H12" s="8" t="n">
        <v>0</v>
      </c>
      <c r="I12" s="8" t="n">
        <v>24.1</v>
      </c>
      <c r="J12" s="15" t="s">
        <v>1199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30" hidden="false" customHeight="true" outlineLevel="0" collapsed="false">
      <c r="A1" s="18" t="s">
        <v>1202</v>
      </c>
      <c r="B1" s="18"/>
      <c r="C1" s="18"/>
      <c r="D1" s="18"/>
      <c r="E1" s="18"/>
      <c r="F1" s="18"/>
    </row>
    <row r="2" customFormat="false" ht="24" hidden="false" customHeight="true" outlineLevel="0" collapsed="false">
      <c r="A2" s="95" t="s">
        <v>71</v>
      </c>
      <c r="B2" s="95" t="s">
        <v>11</v>
      </c>
      <c r="C2" s="95" t="s">
        <v>1203</v>
      </c>
      <c r="D2" s="95" t="s">
        <v>1204</v>
      </c>
      <c r="E2" s="95" t="s">
        <v>1115</v>
      </c>
      <c r="F2" s="95" t="s">
        <v>1205</v>
      </c>
    </row>
    <row r="3" customFormat="false" ht="19.5" hidden="false" customHeight="true" outlineLevel="0" collapsed="false">
      <c r="A3" s="40" t="s">
        <v>77</v>
      </c>
      <c r="B3" s="41" t="s">
        <v>1206</v>
      </c>
      <c r="C3" s="44" t="n">
        <v>0.004</v>
      </c>
      <c r="D3" s="45" t="n">
        <v>5933</v>
      </c>
      <c r="E3" s="45" t="n">
        <f aca="false">C3*D3</f>
        <v>23.732</v>
      </c>
      <c r="F3" s="41" t="s">
        <v>1207</v>
      </c>
    </row>
    <row r="4" customFormat="false" ht="19.5" hidden="false" customHeight="true" outlineLevel="0" collapsed="false">
      <c r="A4" s="46" t="s">
        <v>111</v>
      </c>
      <c r="B4" s="47" t="s">
        <v>1208</v>
      </c>
      <c r="C4" s="50" t="n">
        <v>0.01</v>
      </c>
      <c r="D4" s="51" t="n">
        <v>824</v>
      </c>
      <c r="E4" s="51" t="n">
        <f aca="false">C4*D4</f>
        <v>8.24</v>
      </c>
      <c r="F4" s="47" t="s">
        <v>1207</v>
      </c>
    </row>
    <row r="5" customFormat="false" ht="19.5" hidden="false" customHeight="true" outlineLevel="0" collapsed="false">
      <c r="A5" s="52" t="s">
        <v>269</v>
      </c>
      <c r="B5" s="53" t="s">
        <v>1209</v>
      </c>
      <c r="C5" s="56" t="n">
        <v>0.05</v>
      </c>
      <c r="D5" s="57" t="n">
        <v>577</v>
      </c>
      <c r="E5" s="57" t="n">
        <f aca="false">C5*D5</f>
        <v>28.85</v>
      </c>
      <c r="F5" s="53" t="s">
        <v>1207</v>
      </c>
    </row>
    <row r="6" customFormat="false" ht="19.5" hidden="false" customHeight="true" outlineLevel="0" collapsed="false">
      <c r="A6" s="58" t="s">
        <v>194</v>
      </c>
      <c r="B6" s="59" t="s">
        <v>1209</v>
      </c>
      <c r="C6" s="62" t="n">
        <v>0.15</v>
      </c>
      <c r="D6" s="63" t="n">
        <v>371</v>
      </c>
      <c r="E6" s="63" t="n">
        <f aca="false">C6*D6</f>
        <v>55.65</v>
      </c>
      <c r="F6" s="59" t="s">
        <v>1207</v>
      </c>
    </row>
    <row r="7" customFormat="false" ht="19.5" hidden="false" customHeight="true" outlineLevel="0" collapsed="false">
      <c r="A7" s="64" t="s">
        <v>286</v>
      </c>
      <c r="B7" s="65" t="s">
        <v>1210</v>
      </c>
      <c r="C7" s="68" t="n">
        <v>0.25</v>
      </c>
      <c r="D7" s="69" t="n">
        <v>346</v>
      </c>
      <c r="E7" s="69" t="n">
        <f aca="false">C7*D7</f>
        <v>86.5</v>
      </c>
      <c r="F7" s="65" t="s">
        <v>1207</v>
      </c>
    </row>
    <row r="8" customFormat="false" ht="19.5" hidden="false" customHeight="true" outlineLevel="0" collapsed="false">
      <c r="A8" s="70" t="s">
        <v>104</v>
      </c>
      <c r="B8" s="71" t="s">
        <v>1211</v>
      </c>
      <c r="C8" s="74" t="n">
        <v>1</v>
      </c>
      <c r="D8" s="75" t="n">
        <v>189</v>
      </c>
      <c r="E8" s="75" t="n">
        <f aca="false">C8*D8</f>
        <v>189</v>
      </c>
      <c r="F8" s="71" t="s">
        <v>1207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2026-05-19T15:59:10Z</dcterms:created>
  <dc:creator>openpyxl</dc:creator>
  <dc:description/>
  <dc:language>en-US</dc:language>
  <cp:lastModifiedBy/>
  <dcterms:modified xsi:type="dcterms:W3CDTF">2026-05-19T15:59:11Z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